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70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1FB3\"/>
    </mc:Choice>
  </mc:AlternateContent>
  <xr:revisionPtr revIDLastSave="0" documentId="8_{9AC0FDE7-2654-40BE-85C9-FD467BCE204B}" xr6:coauthVersionLast="43" xr6:coauthVersionMax="43" xr10:uidLastSave="{00000000-0000-0000-0000-000000000000}"/>
  <bookViews>
    <workbookView xWindow="-120" yWindow="-120" windowWidth="15600" windowHeight="11760" tabRatio="500" firstSheet="1" activeTab="1"/>
  </bookViews>
  <sheets>
    <sheet name="Macros" sheetId="1" state="hidden" r:id="rId1"/>
    <sheet name="Macro1" sheetId="2" r:id="rId2"/>
    <sheet name="TPS" sheetId="3" r:id="rId3"/>
  </sheets>
  <definedNames>
    <definedName name="wi" localSheetId="2">TPS!$M$1</definedName>
  </definedNames>
  <calcPr calcId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8" i="3" l="1"/>
  <c r="N8" i="3"/>
  <c r="M9" i="3"/>
  <c r="N9" i="3"/>
</calcChain>
</file>

<file path=xl/comments1.xml><?xml version="1.0" encoding="utf-8"?>
<comments xmlns="http://schemas.openxmlformats.org/spreadsheetml/2006/main">
  <authors>
    <author/>
  </authors>
  <commentList>
    <comment ref="B6" authorId="0" shapeId="0">
      <text>
        <r>
          <rPr>
            <sz val="9"/>
            <color indexed="8"/>
            <rFont val="Tahoma"/>
            <family val="2"/>
          </rPr>
          <t xml:space="preserve">TPS: 
The Item Code is to be compulsorily entered
</t>
        </r>
      </text>
    </comment>
  </commentList>
</comments>
</file>

<file path=xl/sharedStrings.xml><?xml version="1.0" encoding="utf-8"?>
<sst xmlns="http://schemas.openxmlformats.org/spreadsheetml/2006/main" count="65" uniqueCount="57">
  <si>
    <t>Please Enable Macro to View TPS information</t>
  </si>
  <si>
    <t xml:space="preserve">Tender Inviting Authority: </t>
  </si>
  <si>
    <t>2014_NCL_2546_1</t>
  </si>
  <si>
    <t>TPS_Version2.0</t>
  </si>
  <si>
    <t>Logical Criteria #1</t>
  </si>
  <si>
    <t>Numerical Criteria</t>
  </si>
  <si>
    <t>Cntrl + k</t>
  </si>
  <si>
    <t>SELECT</t>
  </si>
  <si>
    <t>Cntl+o</t>
  </si>
  <si>
    <t>Name of Work: PROCUREMENT OF MOTOR PROTECTION RELALYS FOR CHP.</t>
  </si>
  <si>
    <t>AGREED or DISAGREED</t>
  </si>
  <si>
    <t>EQUAL TO</t>
  </si>
  <si>
    <t>YES</t>
  </si>
  <si>
    <t>NIT No:                          Dated.</t>
  </si>
  <si>
    <t>EQUAL or MORE than</t>
  </si>
  <si>
    <t>NO</t>
  </si>
  <si>
    <t>Bidder Name:</t>
  </si>
  <si>
    <t>EQUAL or LESS than</t>
  </si>
  <si>
    <t>Remove data validation</t>
  </si>
  <si>
    <t>Cntrl + n</t>
  </si>
  <si>
    <t>TECHNICAL    PARAMETER      SHEET</t>
  </si>
  <si>
    <t>Logical Criteria #2</t>
  </si>
  <si>
    <t>MORE than</t>
  </si>
  <si>
    <t>Cntrl + m</t>
  </si>
  <si>
    <r>
      <rPr>
        <b/>
        <sz val="15"/>
        <rFont val="Cambria"/>
        <family val="1"/>
      </rPr>
      <t xml:space="preserve">S. No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</si>
  <si>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Item Code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</si>
  <si>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Description of Item </t>
    </r>
    <r>
      <rPr>
        <b/>
        <sz val="15"/>
        <color indexed="10"/>
        <rFont val="Cambria"/>
        <family val="1"/>
      </rPr>
      <t>*</t>
    </r>
  </si>
  <si>
    <t>Bidder's Eligibility Status</t>
  </si>
  <si>
    <r>
      <rPr>
        <b/>
        <sz val="15"/>
        <rFont val="Cambria"/>
        <family val="1"/>
      </rPr>
      <t xml:space="preserve">Specification Parameter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</si>
  <si>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Unit of Measure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</si>
  <si>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Evaluation Criteria (To be selected from drop down box in each cell) </t>
    </r>
    <r>
      <rPr>
        <b/>
        <sz val="15"/>
        <color indexed="10"/>
        <rFont val="Cambria"/>
        <family val="1"/>
      </rPr>
      <t>*</t>
    </r>
  </si>
  <si>
    <t>Others1</t>
  </si>
  <si>
    <t>Others2</t>
  </si>
  <si>
    <r>
      <rPr>
        <b/>
        <sz val="15"/>
        <rFont val="Cambria"/>
        <family val="1"/>
      </rPr>
      <t xml:space="preserve">Required Value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</si>
  <si>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Bidder's value </t>
    </r>
    <r>
      <rPr>
        <b/>
        <sz val="15"/>
        <color indexed="10"/>
        <rFont val="Cambria"/>
        <family val="1"/>
      </rPr>
      <t>*</t>
    </r>
  </si>
  <si>
    <t>Eligibility</t>
  </si>
  <si>
    <t>Remarks If any</t>
  </si>
  <si>
    <t>YES or NO</t>
  </si>
  <si>
    <t>LESS than</t>
  </si>
  <si>
    <t>AGREE</t>
  </si>
  <si>
    <t>Start Value</t>
  </si>
  <si>
    <t>End Value</t>
  </si>
  <si>
    <t>Specification wise</t>
  </si>
  <si>
    <t>Overall</t>
  </si>
  <si>
    <t>Logical Criteria #3</t>
  </si>
  <si>
    <t>BETWEEN</t>
  </si>
  <si>
    <t>DISAGREE</t>
  </si>
  <si>
    <t>1</t>
  </si>
  <si>
    <t>Item 1</t>
  </si>
  <si>
    <t xml:space="preserve">Current Transformer (CT)
</t>
  </si>
  <si>
    <t>Circular ring type Current transformer conforming to IS:2705.
 Ratio: 30:5. 
System voltage:6.6kV, 50Hz</t>
  </si>
  <si>
    <t>No.</t>
  </si>
  <si>
    <t>2</t>
  </si>
  <si>
    <t>Item 2</t>
  </si>
  <si>
    <t xml:space="preserve">Motor Protection relay
</t>
  </si>
  <si>
    <t>Digital motor protection relay
 Protection for overload, earth fault, line fault, loss of load, phase loss, rotation failure(stall).
Supply:110/220V AC.
Operating coil: 220V AC/DC, 5 Amps or more. 
Mounting type: Flush.
Communication: RS458/MODBUS.</t>
  </si>
  <si>
    <t>***PLEASE ENTER THE DETAILS AS PER THE INFORMATION AND DOCUMENTS YOU HAVE W.R.T. YOUR OFFERED ITEM(S)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</si>
</sst>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indexed="8"/>
      <name val="Calibri"/>
      <family val="2"/>
    </font>
    <font>
      <b/>
      <sz val="16"/>
      <color indexed="8"/>
      <name val="Calibri"/>
      <family val="2"/>
    </font>
    <font>
      <b/>
      <sz val="15"/>
      <name val="Cambria"/>
      <family val="1"/>
    </font>
    <font>
      <sz val="15"/>
      <color indexed="8"/>
      <name val="Calibri"/>
      <family val="2"/>
    </font>
    <font>
      <sz val="15"/>
      <color indexed="22"/>
      <name val="Calibri"/>
      <family val="2"/>
    </font>
    <font>
      <sz val="15"/>
      <color indexed="8"/>
      <name val="Cambria"/>
      <family val="1"/>
    </font>
    <font>
      <b/>
      <sz val="11"/>
      <color indexed="10"/>
      <name val="Arial"/>
      <family val="2"/>
    </font>
    <font>
      <sz val="11"/>
      <name val="Arial"/>
      <family val="2"/>
    </font>
    <font>
      <sz val="11"/>
      <name val="System"/>
      <family val="2"/>
    </font>
    <font>
      <sz val="15"/>
      <color indexed="9"/>
      <name val="Calibri"/>
      <family val="2"/>
    </font>
    <font>
      <b/>
      <sz val="15"/>
      <color indexed="20"/>
      <name val="Cambria"/>
      <family val="1"/>
    </font>
    <font>
      <b/>
      <sz val="16"/>
      <name val="Cambria"/>
      <family val="1"/>
    </font>
    <font>
      <b/>
      <sz val="16"/>
      <color indexed="10"/>
      <name val="Cambria"/>
      <family val="1"/>
    </font>
    <font>
      <b/>
      <sz val="15"/>
      <color indexed="10"/>
      <name val="Cambria"/>
      <family val="1"/>
    </font>
    <font>
      <b/>
      <sz val="15"/>
      <color indexed="8"/>
      <name val="Cambria"/>
      <family val="1"/>
    </font>
    <font>
      <b/>
      <sz val="16"/>
      <color indexed="8"/>
      <name val="Cambria"/>
      <family val="1"/>
    </font>
    <font>
      <sz val="20"/>
      <name val="Calibri"/>
      <family val="2"/>
    </font>
    <font>
      <sz val="20"/>
      <color indexed="8"/>
      <name val="Calibri"/>
      <family val="2"/>
    </font>
    <font>
      <b/>
      <sz val="20"/>
      <color indexed="48"/>
      <name val="Calibri"/>
      <family val="2"/>
    </font>
    <font>
      <b/>
      <sz val="20"/>
      <name val="Calibri"/>
      <family val="2"/>
    </font>
    <font>
      <b/>
      <sz val="20"/>
      <color indexed="60"/>
      <name val="Calibri"/>
      <family val="2"/>
    </font>
    <font>
      <b/>
      <sz val="20"/>
      <color indexed="20"/>
      <name val="Calibri"/>
      <family val="2"/>
    </font>
    <font>
      <b/>
      <sz val="20"/>
      <color indexed="8"/>
      <name val="Calibri"/>
      <family val="2"/>
    </font>
    <font>
      <sz val="14"/>
      <color indexed="8"/>
      <name val="Cambria"/>
      <family val="1"/>
    </font>
    <font>
      <sz val="14"/>
      <name val="Cambria"/>
      <family val="1"/>
    </font>
    <font>
      <sz val="9"/>
      <color indexed="8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15"/>
        <bgColor indexed="35"/>
      </patternFill>
    </fill>
    <fill>
      <patternFill patternType="solid">
        <fgColor indexed="45"/>
        <bgColor indexed="29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49" fontId="0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5" fillId="3" borderId="0" xfId="0" applyNumberFormat="1" applyFont="1" applyFill="1" applyAlignment="1">
      <alignment vertical="center"/>
    </xf>
    <xf numFmtId="49" fontId="6" fillId="0" borderId="0" xfId="0" applyNumberFormat="1" applyFont="1" applyAlignment="1">
      <alignment horizontal="center" vertical="center" wrapText="1"/>
    </xf>
    <xf numFmtId="49" fontId="8" fillId="5" borderId="1" xfId="0" applyNumberFormat="1" applyFont="1" applyFill="1" applyBorder="1" applyAlignment="1" applyProtection="1">
      <alignment horizontal="center" vertical="center"/>
    </xf>
    <xf numFmtId="49" fontId="7" fillId="4" borderId="1" xfId="0" applyNumberFormat="1" applyFont="1" applyFill="1" applyBorder="1" applyAlignment="1" applyProtection="1">
      <alignment horizontal="center" vertical="center"/>
    </xf>
    <xf numFmtId="49" fontId="9" fillId="0" borderId="0" xfId="0" applyNumberFormat="1" applyFont="1" applyAlignment="1">
      <alignment vertical="center"/>
    </xf>
    <xf numFmtId="49" fontId="7" fillId="6" borderId="1" xfId="0" applyNumberFormat="1" applyFont="1" applyFill="1" applyBorder="1" applyAlignment="1" applyProtection="1">
      <alignment horizontal="center" vertical="center" wrapText="1"/>
    </xf>
    <xf numFmtId="49" fontId="7" fillId="0" borderId="0" xfId="0" applyNumberFormat="1" applyFont="1" applyAlignment="1">
      <alignment vertical="center" wrapText="1"/>
    </xf>
    <xf numFmtId="49" fontId="8" fillId="7" borderId="1" xfId="0" applyNumberFormat="1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center" vertical="center" wrapText="1"/>
    </xf>
    <xf numFmtId="49" fontId="11" fillId="6" borderId="1" xfId="0" applyNumberFormat="1" applyFont="1" applyFill="1" applyBorder="1" applyAlignment="1" applyProtection="1">
      <alignment horizontal="center" vertical="center" wrapText="1"/>
    </xf>
    <xf numFmtId="49" fontId="11" fillId="8" borderId="1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Alignment="1">
      <alignment vertical="center" wrapText="1"/>
    </xf>
    <xf numFmtId="49" fontId="2" fillId="2" borderId="4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horizontal="center" vertical="center" wrapText="1"/>
    </xf>
    <xf numFmtId="49" fontId="14" fillId="2" borderId="4" xfId="0" applyNumberFormat="1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vertical="center"/>
    </xf>
    <xf numFmtId="49" fontId="16" fillId="2" borderId="1" xfId="0" applyNumberFormat="1" applyFont="1" applyFill="1" applyBorder="1" applyAlignment="1">
      <alignment horizontal="center" vertical="center" wrapText="1"/>
    </xf>
    <xf numFmtId="49" fontId="17" fillId="2" borderId="1" xfId="0" applyNumberFormat="1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vertical="center" wrapText="1"/>
    </xf>
    <xf numFmtId="49" fontId="16" fillId="2" borderId="1" xfId="0" applyNumberFormat="1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 vertical="top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19" fillId="2" borderId="1" xfId="0" applyNumberFormat="1" applyFont="1" applyFill="1" applyBorder="1" applyAlignment="1">
      <alignment horizontal="center" vertical="center" wrapText="1"/>
    </xf>
    <xf numFmtId="49" fontId="19" fillId="2" borderId="1" xfId="0" applyNumberFormat="1" applyFont="1" applyFill="1" applyBorder="1" applyAlignment="1" applyProtection="1">
      <alignment horizontal="center" vertical="center" wrapText="1"/>
    </xf>
    <xf numFmtId="49" fontId="19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20" fillId="5" borderId="1" xfId="0" applyNumberFormat="1" applyFont="1" applyFill="1" applyBorder="1" applyAlignment="1">
      <alignment horizontal="center" vertical="center" wrapText="1"/>
    </xf>
    <xf numFmtId="49" fontId="21" fillId="2" borderId="1" xfId="0" applyNumberFormat="1" applyFont="1" applyFill="1" applyBorder="1" applyAlignment="1">
      <alignment horizontal="center" vertical="center" wrapText="1"/>
    </xf>
    <xf numFmtId="49" fontId="22" fillId="0" borderId="6" xfId="0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vertical="center"/>
    </xf>
    <xf numFmtId="49" fontId="24" fillId="6" borderId="1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Font="1" applyBorder="1" applyAlignment="1">
      <alignment vertical="center"/>
    </xf>
    <xf numFmtId="49" fontId="10" fillId="2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0" xfId="0"/>
    <xf numFmtId="49" fontId="2" fillId="2" borderId="1" xfId="0" applyNumberFormat="1" applyFont="1" applyFill="1" applyBorder="1" applyAlignment="1">
      <alignment horizontal="left" vertical="center" wrapText="1"/>
    </xf>
    <xf numFmtId="49" fontId="7" fillId="4" borderId="2" xfId="0" applyNumberFormat="1" applyFont="1" applyFill="1" applyBorder="1" applyAlignment="1" applyProtection="1">
      <alignment horizontal="center" vertical="center"/>
    </xf>
    <xf numFmtId="49" fontId="7" fillId="4" borderId="1" xfId="0" applyNumberFormat="1" applyFont="1" applyFill="1" applyBorder="1" applyAlignment="1" applyProtection="1">
      <alignment horizontal="center" vertical="center"/>
    </xf>
    <xf numFmtId="49" fontId="2" fillId="2" borderId="2" xfId="0" applyNumberFormat="1" applyFont="1" applyFill="1" applyBorder="1" applyAlignment="1">
      <alignment horizontal="left" vertical="center" wrapText="1"/>
    </xf>
    <xf numFmtId="49" fontId="2" fillId="3" borderId="3" xfId="0" applyNumberFormat="1" applyFont="1" applyFill="1" applyBorder="1" applyAlignment="1" applyProtection="1">
      <alignment horizontal="left" vertical="center" wrapText="1"/>
      <protection locked="0"/>
    </xf>
    <xf numFmtId="49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1" fillId="4" borderId="2" xfId="0" applyNumberFormat="1" applyFont="1" applyFill="1" applyBorder="1" applyAlignment="1" applyProtection="1">
      <alignment horizontal="center" vertical="center"/>
    </xf>
    <xf numFmtId="49" fontId="2" fillId="2" borderId="4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5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7">
    <dxf>
      <font>
        <b val="0"/>
        <condense val="0"/>
        <extend val="0"/>
        <sz val="11"/>
        <color indexed="17"/>
      </font>
      <fill>
        <patternFill patternType="solid">
          <fgColor indexed="27"/>
          <bgColor indexed="42"/>
        </patternFill>
      </fill>
    </dxf>
    <dxf>
      <font>
        <b val="0"/>
        <condense val="0"/>
        <extend val="0"/>
        <sz val="11"/>
        <color indexed="10"/>
      </font>
      <fill>
        <patternFill patternType="solid">
          <fgColor indexed="26"/>
          <bgColor indexed="9"/>
        </patternFill>
      </fill>
    </dxf>
    <dxf>
      <font>
        <b/>
        <i val="0"/>
        <condense val="0"/>
        <extend val="0"/>
        <sz val="11"/>
        <color indexed="10"/>
      </font>
      <fill>
        <patternFill patternType="solid">
          <fgColor indexed="26"/>
          <bgColor indexed="9"/>
        </patternFill>
      </fill>
    </dxf>
    <dxf>
      <font>
        <b val="0"/>
        <condense val="0"/>
        <extend val="0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1"/>
        <color indexed="20"/>
      </font>
    </dxf>
    <dxf>
      <font>
        <b val="0"/>
        <i val="0"/>
        <strike val="0"/>
        <condense val="0"/>
        <extend val="0"/>
        <sz val="11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K14"/>
  <sheetViews>
    <sheetView workbookViewId="0">
      <selection activeCell="E6" sqref="E6"/>
    </sheetView>
  </sheetViews>
  <sheetFormatPr defaultColWidth="9" defaultRowHeight="15" x14ac:dyDescent="0.25"/>
  <sheetData>
    <row r="6" spans="5:11" ht="21" customHeight="1" x14ac:dyDescent="0.25">
      <c r="E6" s="39" t="s">
        <v>0</v>
      </c>
      <c r="F6" s="39"/>
      <c r="G6" s="39"/>
      <c r="H6" s="39"/>
      <c r="I6" s="39"/>
      <c r="J6" s="39"/>
      <c r="K6" s="39"/>
    </row>
    <row r="7" spans="5:11" x14ac:dyDescent="0.25">
      <c r="E7" s="40"/>
      <c r="F7" s="40"/>
      <c r="G7" s="40"/>
      <c r="H7" s="40"/>
      <c r="I7" s="40"/>
      <c r="J7" s="40"/>
      <c r="K7" s="40"/>
    </row>
    <row r="8" spans="5:11" x14ac:dyDescent="0.25">
      <c r="E8" s="40"/>
      <c r="F8" s="40"/>
      <c r="G8" s="40"/>
      <c r="H8" s="40"/>
      <c r="I8" s="40"/>
      <c r="J8" s="40"/>
      <c r="K8" s="40"/>
    </row>
    <row r="9" spans="5:11" x14ac:dyDescent="0.25">
      <c r="E9" s="40"/>
      <c r="F9" s="40"/>
      <c r="G9" s="40"/>
      <c r="H9" s="40"/>
      <c r="I9" s="40"/>
      <c r="J9" s="40"/>
      <c r="K9" s="40"/>
    </row>
    <row r="10" spans="5:11" x14ac:dyDescent="0.25">
      <c r="E10" s="40"/>
      <c r="F10" s="40"/>
      <c r="G10" s="40"/>
      <c r="H10" s="40"/>
      <c r="I10" s="40"/>
      <c r="J10" s="40"/>
      <c r="K10" s="40"/>
    </row>
    <row r="11" spans="5:11" x14ac:dyDescent="0.25">
      <c r="E11" s="40"/>
      <c r="F11" s="40"/>
      <c r="G11" s="40"/>
      <c r="H11" s="40"/>
      <c r="I11" s="40"/>
      <c r="J11" s="40"/>
      <c r="K11" s="40"/>
    </row>
    <row r="12" spans="5:11" x14ac:dyDescent="0.25">
      <c r="E12" s="40"/>
      <c r="F12" s="40"/>
      <c r="G12" s="40"/>
      <c r="H12" s="40"/>
      <c r="I12" s="40"/>
      <c r="J12" s="40"/>
      <c r="K12" s="40"/>
    </row>
    <row r="13" spans="5:11" x14ac:dyDescent="0.25">
      <c r="E13" s="40"/>
      <c r="F13" s="40"/>
      <c r="G13" s="40"/>
      <c r="H13" s="40"/>
      <c r="I13" s="40"/>
      <c r="J13" s="40"/>
      <c r="K13" s="40"/>
    </row>
    <row r="14" spans="5:11" x14ac:dyDescent="0.25">
      <c r="E14" s="40"/>
      <c r="F14" s="40"/>
      <c r="G14" s="40"/>
      <c r="H14" s="40"/>
      <c r="I14" s="40"/>
      <c r="J14" s="40"/>
      <c r="K14" s="40"/>
    </row>
  </sheetData>
  <sheetProtection password="EEC8" sheet="1"/>
  <mergeCells count="1">
    <mergeCell ref="E6:K14"/>
  </mergeCells>
  <pageMargins left="0.75" right="0.75" top="1" bottom="1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ColWidth="9" defaultRowHeight="15" x14ac:dyDescent="0.25"/>
  <sheetData/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11"/>
  <sheetViews>
    <sheetView topLeftCell="A6" zoomScale="55" zoomScaleNormal="55" workbookViewId="0">
      <selection activeCell="E9" sqref="E9"/>
    </sheetView>
  </sheetViews>
  <sheetFormatPr defaultRowHeight="15" x14ac:dyDescent="0.25"/>
  <cols>
    <col min="1" max="1" width="11" style="1" customWidth="1"/>
    <col min="2" max="2" width="19.5703125" style="1" customWidth="1"/>
    <col min="3" max="3" width="51.7109375" style="1" customWidth="1"/>
    <col min="4" max="4" width="14.7109375" style="1" customWidth="1"/>
    <col min="5" max="5" width="36.28515625" style="1" customWidth="1"/>
    <col min="6" max="6" width="13.85546875" style="1" customWidth="1"/>
    <col min="7" max="7" width="23.7109375" style="1" customWidth="1"/>
    <col min="8" max="9" width="11.85546875" style="1" hidden="1" customWidth="1"/>
    <col min="10" max="10" width="14.28515625" style="1" customWidth="1"/>
    <col min="11" max="11" width="13.7109375" style="1" customWidth="1"/>
    <col min="12" max="12" width="22.42578125" style="1" customWidth="1"/>
    <col min="13" max="13" width="19.42578125" style="1" customWidth="1"/>
    <col min="14" max="14" width="21.140625" style="1" customWidth="1"/>
    <col min="15" max="15" width="19.85546875" style="1" customWidth="1"/>
    <col min="16" max="16" width="14" style="1" customWidth="1"/>
    <col min="17" max="21" width="9.140625" style="1" customWidth="1"/>
    <col min="22" max="22" width="6.5703125" style="1" hidden="1" customWidth="1"/>
    <col min="23" max="23" width="31.85546875" style="1" hidden="1" customWidth="1"/>
    <col min="24" max="24" width="9.140625" style="1" hidden="1" customWidth="1"/>
    <col min="25" max="25" width="33" style="1" hidden="1" customWidth="1"/>
    <col min="26" max="26" width="12.7109375" style="1" hidden="1" customWidth="1"/>
    <col min="27" max="27" width="9.85546875" style="1" hidden="1" customWidth="1"/>
    <col min="28" max="28" width="9.140625" style="1" hidden="1" customWidth="1"/>
    <col min="29" max="29" width="14.7109375" style="1" hidden="1" customWidth="1"/>
    <col min="30" max="30" width="9" style="1" hidden="1" customWidth="1"/>
    <col min="31" max="16384" width="9.140625" style="1"/>
  </cols>
  <sheetData>
    <row r="1" spans="1:29" ht="27.2" customHeight="1" x14ac:dyDescent="0.25">
      <c r="A1" s="41" t="s">
        <v>1</v>
      </c>
      <c r="B1" s="41"/>
      <c r="C1" s="41"/>
      <c r="D1" s="41"/>
      <c r="E1" s="41"/>
      <c r="F1" s="41"/>
      <c r="G1" s="2"/>
      <c r="H1" s="2"/>
      <c r="I1" s="2"/>
      <c r="J1" s="2"/>
      <c r="K1" s="2"/>
      <c r="L1" s="3"/>
      <c r="M1" s="4" t="s">
        <v>2</v>
      </c>
      <c r="N1" s="4" t="s">
        <v>3</v>
      </c>
      <c r="O1" s="4"/>
      <c r="W1" s="5" t="s">
        <v>4</v>
      </c>
      <c r="Y1" s="5" t="s">
        <v>5</v>
      </c>
      <c r="Z1" s="42" t="s">
        <v>6</v>
      </c>
      <c r="AB1" s="6" t="s">
        <v>7</v>
      </c>
      <c r="AC1" s="43" t="s">
        <v>8</v>
      </c>
    </row>
    <row r="2" spans="1:29" ht="43.5" customHeight="1" x14ac:dyDescent="0.25">
      <c r="A2" s="41" t="s">
        <v>9</v>
      </c>
      <c r="B2" s="41"/>
      <c r="C2" s="41"/>
      <c r="D2" s="41"/>
      <c r="E2" s="41"/>
      <c r="F2" s="41"/>
      <c r="G2" s="2"/>
      <c r="H2" s="2"/>
      <c r="I2" s="2"/>
      <c r="J2" s="2"/>
      <c r="K2" s="2"/>
      <c r="L2" s="2"/>
      <c r="M2" s="2"/>
      <c r="N2" s="2"/>
      <c r="O2" s="8"/>
      <c r="W2" s="9" t="s">
        <v>10</v>
      </c>
      <c r="Y2" s="9" t="s">
        <v>11</v>
      </c>
      <c r="Z2" s="42"/>
      <c r="AB2" s="6" t="s">
        <v>12</v>
      </c>
      <c r="AC2" s="43"/>
    </row>
    <row r="3" spans="1:29" ht="27.2" customHeight="1" x14ac:dyDescent="0.25">
      <c r="A3" s="41" t="s">
        <v>13</v>
      </c>
      <c r="B3" s="41"/>
      <c r="C3" s="41"/>
      <c r="D3" s="41"/>
      <c r="E3" s="41"/>
      <c r="F3" s="41"/>
      <c r="G3" s="2"/>
      <c r="H3" s="2"/>
      <c r="I3" s="2"/>
      <c r="J3" s="2"/>
      <c r="K3" s="2"/>
      <c r="L3" s="2"/>
      <c r="M3" s="2"/>
      <c r="N3" s="2"/>
      <c r="O3" s="2"/>
      <c r="W3" s="10"/>
      <c r="Y3" s="9" t="s">
        <v>14</v>
      </c>
      <c r="Z3" s="42"/>
      <c r="AB3" s="6" t="s">
        <v>15</v>
      </c>
      <c r="AC3" s="43"/>
    </row>
    <row r="4" spans="1:29" ht="27.2" customHeight="1" x14ac:dyDescent="0.25">
      <c r="A4" s="44" t="s">
        <v>16</v>
      </c>
      <c r="B4" s="44"/>
      <c r="C4" s="45"/>
      <c r="D4" s="45"/>
      <c r="E4" s="45"/>
      <c r="F4" s="45"/>
      <c r="G4" s="2"/>
      <c r="H4" s="2"/>
      <c r="I4" s="2"/>
      <c r="J4" s="2"/>
      <c r="K4" s="2"/>
      <c r="L4" s="2"/>
      <c r="M4" s="2"/>
      <c r="N4" s="2"/>
      <c r="O4" s="2"/>
      <c r="W4" s="10"/>
      <c r="Y4" s="9" t="s">
        <v>17</v>
      </c>
      <c r="Z4" s="42"/>
      <c r="AB4" s="11" t="s">
        <v>18</v>
      </c>
      <c r="AC4" s="7" t="s">
        <v>19</v>
      </c>
    </row>
    <row r="5" spans="1:29" s="12" customFormat="1" ht="36.950000000000003" customHeight="1" x14ac:dyDescent="0.25">
      <c r="A5" s="46" t="s">
        <v>20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W5" s="13" t="s">
        <v>21</v>
      </c>
      <c r="Y5" s="14" t="s">
        <v>22</v>
      </c>
      <c r="Z5" s="42"/>
      <c r="AB5" s="15" t="s">
        <v>7</v>
      </c>
      <c r="AC5" s="47" t="s">
        <v>23</v>
      </c>
    </row>
    <row r="6" spans="1:29" s="12" customFormat="1" ht="30" customHeight="1" x14ac:dyDescent="0.25">
      <c r="A6" s="48" t="s">
        <v>24</v>
      </c>
      <c r="B6" s="48" t="s">
        <v>25</v>
      </c>
      <c r="C6" s="48" t="s">
        <v>26</v>
      </c>
      <c r="D6" s="48" t="s">
        <v>27</v>
      </c>
      <c r="E6" s="49" t="s">
        <v>28</v>
      </c>
      <c r="F6" s="48" t="s">
        <v>29</v>
      </c>
      <c r="G6" s="48" t="s">
        <v>30</v>
      </c>
      <c r="H6" s="16" t="s">
        <v>31</v>
      </c>
      <c r="I6" s="16" t="s">
        <v>32</v>
      </c>
      <c r="J6" s="50" t="s">
        <v>33</v>
      </c>
      <c r="K6" s="50"/>
      <c r="L6" s="17" t="s">
        <v>34</v>
      </c>
      <c r="M6" s="48" t="s">
        <v>35</v>
      </c>
      <c r="N6" s="48"/>
      <c r="O6" s="48" t="s">
        <v>36</v>
      </c>
      <c r="W6" s="14" t="s">
        <v>37</v>
      </c>
      <c r="Y6" s="14" t="s">
        <v>38</v>
      </c>
      <c r="Z6" s="42"/>
      <c r="AB6" s="15" t="s">
        <v>39</v>
      </c>
      <c r="AC6" s="47"/>
    </row>
    <row r="7" spans="1:29" s="22" customFormat="1" ht="86.25" customHeight="1" x14ac:dyDescent="0.25">
      <c r="A7" s="48"/>
      <c r="B7" s="48"/>
      <c r="C7" s="48"/>
      <c r="D7" s="48"/>
      <c r="E7" s="49"/>
      <c r="F7" s="48"/>
      <c r="G7" s="48"/>
      <c r="H7" s="18"/>
      <c r="I7" s="18"/>
      <c r="J7" s="19" t="s">
        <v>40</v>
      </c>
      <c r="K7" s="19" t="s">
        <v>41</v>
      </c>
      <c r="L7" s="20"/>
      <c r="M7" s="21" t="s">
        <v>42</v>
      </c>
      <c r="N7" s="19" t="s">
        <v>43</v>
      </c>
      <c r="O7" s="48"/>
      <c r="W7" s="13" t="s">
        <v>44</v>
      </c>
      <c r="Y7" s="14" t="s">
        <v>45</v>
      </c>
      <c r="Z7" s="42"/>
      <c r="AB7" s="15" t="s">
        <v>46</v>
      </c>
      <c r="AC7" s="47"/>
    </row>
    <row r="8" spans="1:29" s="35" customFormat="1" ht="242.65" customHeight="1" x14ac:dyDescent="0.25">
      <c r="A8" s="23" t="s">
        <v>47</v>
      </c>
      <c r="B8" s="24" t="s">
        <v>48</v>
      </c>
      <c r="C8" s="25" t="s">
        <v>49</v>
      </c>
      <c r="D8" s="26"/>
      <c r="E8" s="27" t="s">
        <v>50</v>
      </c>
      <c r="F8" s="23" t="s">
        <v>51</v>
      </c>
      <c r="G8" s="28" t="s">
        <v>10</v>
      </c>
      <c r="H8" s="29"/>
      <c r="I8" s="29"/>
      <c r="J8" s="30" t="s">
        <v>39</v>
      </c>
      <c r="K8" s="29"/>
      <c r="L8" s="31" t="s">
        <v>7</v>
      </c>
      <c r="M8" s="32">
        <f t="shared" ref="M8:M9" ca="1" si="0">IF(J8="NOT NULL",ISTEXT(L8),tech_eval(L8,J8,K8,G8))</f>
        <v>0</v>
      </c>
      <c r="N8" s="33">
        <f t="shared" ref="N8:N9" ca="1" si="1">IF(AND(M8:M8),"COMPLIED","NOT-COMPLIED")</f>
        <v>0</v>
      </c>
      <c r="O8" s="34"/>
      <c r="W8" s="36"/>
      <c r="Y8" s="36"/>
      <c r="Z8" s="37"/>
    </row>
    <row r="9" spans="1:29" s="35" customFormat="1" ht="335.45" customHeight="1" x14ac:dyDescent="0.25">
      <c r="A9" s="23" t="s">
        <v>52</v>
      </c>
      <c r="B9" s="24" t="s">
        <v>53</v>
      </c>
      <c r="C9" s="25" t="s">
        <v>54</v>
      </c>
      <c r="D9" s="26"/>
      <c r="E9" s="27" t="s">
        <v>55</v>
      </c>
      <c r="F9" s="23" t="s">
        <v>51</v>
      </c>
      <c r="G9" s="28" t="s">
        <v>10</v>
      </c>
      <c r="H9" s="29"/>
      <c r="I9" s="29"/>
      <c r="J9" s="30" t="s">
        <v>39</v>
      </c>
      <c r="K9" s="29"/>
      <c r="L9" s="31" t="s">
        <v>7</v>
      </c>
      <c r="M9" s="32">
        <f t="shared" ca="1" si="0"/>
        <v>0</v>
      </c>
      <c r="N9" s="33">
        <f t="shared" ca="1" si="1"/>
        <v>0</v>
      </c>
      <c r="O9" s="34"/>
      <c r="W9" s="36"/>
      <c r="Y9" s="36"/>
      <c r="Z9" s="37"/>
    </row>
    <row r="10" spans="1:29" s="35" customFormat="1" ht="60" customHeight="1" x14ac:dyDescent="0.25">
      <c r="A10" s="51" t="s">
        <v>56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</row>
    <row r="11" spans="1:29" s="35" customFormat="1" ht="18.75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</row>
  </sheetData>
  <sheetProtection selectLockedCells="1" selectUnlockedCells="1"/>
  <mergeCells count="20">
    <mergeCell ref="J6:K6"/>
    <mergeCell ref="M6:N6"/>
    <mergeCell ref="O6:O7"/>
    <mergeCell ref="A10:O10"/>
    <mergeCell ref="B6:B7"/>
    <mergeCell ref="C6:C7"/>
    <mergeCell ref="D6:D7"/>
    <mergeCell ref="E6:E7"/>
    <mergeCell ref="F6:F7"/>
    <mergeCell ref="G6:G7"/>
    <mergeCell ref="A1:F1"/>
    <mergeCell ref="Z1:Z7"/>
    <mergeCell ref="AC1:AC3"/>
    <mergeCell ref="A2:F2"/>
    <mergeCell ref="A3:F3"/>
    <mergeCell ref="A4:B4"/>
    <mergeCell ref="C4:F4"/>
    <mergeCell ref="A5:O5"/>
    <mergeCell ref="AC5:AC7"/>
    <mergeCell ref="A6:A7"/>
  </mergeCells>
  <conditionalFormatting sqref="M8:M9">
    <cfRule type="expression" dxfId="6" priority="1" stopIfTrue="1">
      <formula>NOT(ISERROR(SEARCH("false",M8)))</formula>
    </cfRule>
    <cfRule type="expression" dxfId="5" priority="2" stopIfTrue="1">
      <formula>NOT(ISERROR(SEARCH("false",M8)))</formula>
    </cfRule>
    <cfRule type="expression" dxfId="4" priority="3" stopIfTrue="1">
      <formula>NOT(ISERROR(SEARCH("false",M8)))</formula>
    </cfRule>
  </conditionalFormatting>
  <conditionalFormatting sqref="G8:G9">
    <cfRule type="expression" dxfId="3" priority="4" stopIfTrue="1">
      <formula>NOT(ISERROR(SEARCH("Select",G8)))</formula>
    </cfRule>
  </conditionalFormatting>
  <conditionalFormatting sqref="N8:N9">
    <cfRule type="expression" dxfId="2" priority="5" stopIfTrue="1">
      <formula>NOT(ISERROR(SEARCH("false",N8)))</formula>
    </cfRule>
    <cfRule type="expression" dxfId="1" priority="6" stopIfTrue="1">
      <formula>NOT(ISERROR(SEARCH("false",N8)))</formula>
    </cfRule>
    <cfRule type="expression" dxfId="0" priority="7" stopIfTrue="1">
      <formula>NOT(ISERROR(SEARCH("true",N8)))</formula>
    </cfRule>
  </conditionalFormatting>
  <dataValidations count="2">
    <dataValidation type="list" allowBlank="1" showErrorMessage="1" sqref="G8:G9">
      <formula1>$W$1:$W$2</formula1>
      <formula2>0</formula2>
    </dataValidation>
    <dataValidation type="list" allowBlank="1" showInputMessage="1" showErrorMessage="1" promptTitle="Select " prompt=" Agree or Disagree" sqref="J8:J9 L8:L9">
      <formula1>$AB$5:$AB$7</formula1>
      <formula2>0</formula2>
    </dataValidation>
  </dataValidations>
  <pageMargins left="0.7" right="0.7" top="0.75" bottom="0.75" header="0.51180555555555551" footer="0.51180555555555551"/>
  <pageSetup paperSize="9" firstPageNumber="0" fitToHeight="0" orientation="landscape" horizontalDpi="300" verticalDpi="300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Macros</vt:lpstr>
      <vt:lpstr>Macro1</vt:lpstr>
      <vt:lpstr>TPS</vt:lpstr>
      <vt:lpstr>TPS!wi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X</cp:lastModifiedBy>
  <dcterms:created xsi:type="dcterms:W3CDTF">2019-05-20T06:57:48Z</dcterms:created>
  <dcterms:modified xsi:type="dcterms:W3CDTF">2019-05-20T06:57:48Z</dcterms:modified>
</cp:coreProperties>
</file>