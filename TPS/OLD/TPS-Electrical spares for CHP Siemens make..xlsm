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62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TempUserProfiles\NetworkService\AppData\OICE_16_974FA576_32C1D314_2C18\"/>
    </mc:Choice>
  </mc:AlternateContent>
  <xr:revisionPtr revIDLastSave="0" documentId="8_{BC5055B9-2266-44E5-8753-F3833DC27EEE}" xr6:coauthVersionLast="43" xr6:coauthVersionMax="43" xr10:uidLastSave="{00000000-0000-0000-0000-000000000000}"/>
  <bookViews>
    <workbookView xWindow="-120" yWindow="-120" windowWidth="15600" windowHeight="11760" tabRatio="500"/>
  </bookViews>
  <sheets>
    <sheet name="Macros" sheetId="1" r:id="rId1"/>
    <sheet name="Macro1" sheetId="2" r:id="rId2"/>
    <sheet name="TPS" sheetId="3" state="hidden" r:id="rId3"/>
  </sheets>
  <definedNames>
    <definedName name="wi" localSheetId="2">TPS!$M$1</definedName>
  </definedNames>
  <calcPr calcId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8" i="3" l="1"/>
  <c r="N8" i="3"/>
  <c r="M9" i="3"/>
  <c r="N9" i="3"/>
  <c r="M10" i="3"/>
  <c r="N10" i="3"/>
  <c r="M11" i="3"/>
  <c r="N11" i="3"/>
  <c r="M12" i="3"/>
  <c r="N12" i="3"/>
  <c r="M13" i="3"/>
  <c r="N13" i="3"/>
  <c r="M14" i="3"/>
  <c r="N14" i="3"/>
  <c r="M15" i="3"/>
  <c r="N15" i="3"/>
  <c r="M16" i="3"/>
  <c r="N16" i="3"/>
  <c r="M17" i="3"/>
  <c r="N17" i="3"/>
  <c r="M18" i="3"/>
  <c r="N18" i="3"/>
  <c r="M19" i="3"/>
  <c r="N19" i="3"/>
  <c r="M20" i="3"/>
  <c r="N20" i="3"/>
  <c r="M21" i="3"/>
  <c r="N21" i="3"/>
  <c r="M22" i="3"/>
  <c r="N22" i="3"/>
  <c r="M23" i="3"/>
  <c r="N23" i="3"/>
  <c r="M24" i="3"/>
  <c r="N24" i="3"/>
  <c r="M25" i="3"/>
  <c r="N25" i="3"/>
  <c r="M26" i="3"/>
  <c r="N26" i="3"/>
  <c r="M27" i="3"/>
  <c r="N27" i="3"/>
  <c r="M28" i="3"/>
  <c r="N28" i="3"/>
  <c r="M29" i="3"/>
  <c r="N29" i="3"/>
</calcChain>
</file>

<file path=xl/comments1.xml><?xml version="1.0" encoding="utf-8"?>
<comments xmlns="http://schemas.openxmlformats.org/spreadsheetml/2006/main">
  <authors>
    <author xml:space="preserve"> </author>
  </authors>
  <commentList>
    <comment ref="B6" authorId="0" shapeId="0">
      <text>
        <r>
          <rPr>
            <sz val="9"/>
            <color indexed="8"/>
            <rFont val="Tahoma"/>
            <family val="2"/>
          </rPr>
          <t xml:space="preserve">TPS: 
The Item Code is to be compulsorily entered
</t>
        </r>
      </text>
    </comment>
  </commentList>
</comments>
</file>

<file path=xl/sharedStrings.xml><?xml version="1.0" encoding="utf-8"?>
<sst xmlns="http://schemas.openxmlformats.org/spreadsheetml/2006/main" count="225" uniqueCount="136">
  <si>
    <t>Please Enable Macro to View TPS information</t>
  </si>
  <si>
    <t xml:space="preserve">Tender Inviting Authority: </t>
  </si>
  <si>
    <t>2014_NCL_2546_1</t>
  </si>
  <si>
    <t>TPS_Version2.0</t>
  </si>
  <si>
    <t>Logical Criteria #1</t>
  </si>
  <si>
    <t>Numerical Criteria</t>
  </si>
  <si>
    <t>Cntrl + k</t>
  </si>
  <si>
    <t>SELECT</t>
  </si>
  <si>
    <t>Cntl+o</t>
  </si>
  <si>
    <t>Name of Work: PROCUREMENT OF Electical spares for CHP, Siemens make.</t>
  </si>
  <si>
    <t>AGREED or DISAGREED</t>
  </si>
  <si>
    <t>EQUAL TO</t>
  </si>
  <si>
    <t>YES</t>
  </si>
  <si>
    <t>NIT No:                          Dated.</t>
  </si>
  <si>
    <t>EQUAL or MORE than</t>
  </si>
  <si>
    <t>NO</t>
  </si>
  <si>
    <t>Bidder Name:</t>
  </si>
  <si>
    <t>EQUAL or LESS than</t>
  </si>
  <si>
    <t>Remove data validation</t>
  </si>
  <si>
    <t>Cntrl + n</t>
  </si>
  <si>
    <t>TECHNICAL    PARAMETER      SHEET</t>
  </si>
  <si>
    <t>Logical Criteria #2</t>
  </si>
  <si>
    <t>MORE than</t>
  </si>
  <si>
    <t>Cntrl + m</t>
  </si>
  <si>
    <r>
      <rPr>
        <b/>
        <sz val="15"/>
        <rFont val="Cambria"/>
        <family val="1"/>
      </rPr>
      <t xml:space="preserve">S. No </t>
    </r>
    <r>
      <rPr>
        <b/>
        <sz val="15"/>
        <color indexed="10"/>
        <rFont val="Cambria"/>
        <family val="1"/>
      </rPr>
      <t>*</t>
    </r>
  </si>
  <si>
    <r>
      <rPr>
        <b/>
        <sz val="15"/>
        <rFont val="Cambria"/>
        <family val="1"/>
      </rPr>
      <t xml:space="preserve">Item Code </t>
    </r>
    <r>
      <rPr>
        <b/>
        <sz val="15"/>
        <color indexed="10"/>
        <rFont val="Cambria"/>
        <family val="1"/>
      </rPr>
      <t>*</t>
    </r>
  </si>
  <si>
    <r>
      <rPr>
        <b/>
        <sz val="15"/>
        <rFont val="Cambria"/>
        <family val="1"/>
      </rPr>
      <t xml:space="preserve">Description of Item </t>
    </r>
    <r>
      <rPr>
        <b/>
        <sz val="15"/>
        <color indexed="10"/>
        <rFont val="Cambria"/>
        <family val="1"/>
      </rPr>
      <t>*</t>
    </r>
  </si>
  <si>
    <t>Bidder's Eligibility Status</t>
  </si>
  <si>
    <r>
      <rPr>
        <b/>
        <sz val="15"/>
        <rFont val="Cambria"/>
        <family val="1"/>
      </rPr>
      <t xml:space="preserve">Specification Parameter </t>
    </r>
    <r>
      <rPr>
        <b/>
        <sz val="15"/>
        <color indexed="10"/>
        <rFont val="Cambria"/>
        <family val="1"/>
      </rPr>
      <t>*</t>
    </r>
  </si>
  <si>
    <r>
      <rPr>
        <b/>
        <sz val="15"/>
        <rFont val="Cambria"/>
        <family val="1"/>
      </rPr>
      <t xml:space="preserve">Unit of Measure </t>
    </r>
    <r>
      <rPr>
        <b/>
        <sz val="15"/>
        <color indexed="10"/>
        <rFont val="Cambria"/>
        <family val="1"/>
      </rPr>
      <t>*</t>
    </r>
  </si>
  <si>
    <r>
      <rPr>
        <b/>
        <sz val="15"/>
        <rFont val="Cambria"/>
        <family val="1"/>
      </rPr>
      <t xml:space="preserve">Evaluation Criteria (To be selected from drop down box in each cell) </t>
    </r>
    <r>
      <rPr>
        <b/>
        <sz val="15"/>
        <color indexed="10"/>
        <rFont val="Cambria"/>
        <family val="1"/>
      </rPr>
      <t>*</t>
    </r>
  </si>
  <si>
    <t>Others1</t>
  </si>
  <si>
    <t>Others2</t>
  </si>
  <si>
    <r>
      <rPr>
        <b/>
        <sz val="15"/>
        <rFont val="Cambria"/>
        <family val="1"/>
      </rPr>
      <t xml:space="preserve">Required Value </t>
    </r>
    <r>
      <rPr>
        <b/>
        <sz val="15"/>
        <color indexed="10"/>
        <rFont val="Cambria"/>
        <family val="1"/>
      </rPr>
      <t>*</t>
    </r>
  </si>
  <si>
    <r>
      <rPr>
        <b/>
        <sz val="15"/>
        <rFont val="Cambria"/>
        <family val="1"/>
      </rPr>
      <t xml:space="preserve">Bidder's value </t>
    </r>
    <r>
      <rPr>
        <b/>
        <sz val="15"/>
        <color indexed="10"/>
        <rFont val="Cambria"/>
        <family val="1"/>
      </rPr>
      <t>*</t>
    </r>
  </si>
  <si>
    <t>Eligibility</t>
  </si>
  <si>
    <t>Remarks If any</t>
  </si>
  <si>
    <t>YES or NO</t>
  </si>
  <si>
    <t>LESS than</t>
  </si>
  <si>
    <t>AGREE</t>
  </si>
  <si>
    <t>Start Value</t>
  </si>
  <si>
    <t>End Value</t>
  </si>
  <si>
    <t>Specification wise</t>
  </si>
  <si>
    <t>Overall</t>
  </si>
  <si>
    <t>Logical Criteria #3</t>
  </si>
  <si>
    <t>BETWEEN</t>
  </si>
  <si>
    <t>DISAGREE</t>
  </si>
  <si>
    <t>1</t>
  </si>
  <si>
    <t>Item 1</t>
  </si>
  <si>
    <t>Contactor 22A, coil voltage-110/220/415V</t>
  </si>
  <si>
    <t>Siemens Part No : 3TF3300-0A</t>
  </si>
  <si>
    <t>No.</t>
  </si>
  <si>
    <t>2</t>
  </si>
  <si>
    <t>Item 2</t>
  </si>
  <si>
    <t>Contactor 38A, coil voltage-110/220/415V</t>
  </si>
  <si>
    <t>Siemens Part No : 3TF4522-0A</t>
  </si>
  <si>
    <t>3</t>
  </si>
  <si>
    <t>Item 3</t>
  </si>
  <si>
    <t>Contactor 45A, coil voltage-110/220/415V</t>
  </si>
  <si>
    <t>Siemens Part No : 3TF4602-0AZA01</t>
  </si>
  <si>
    <t>4</t>
  </si>
  <si>
    <t>Item 4</t>
  </si>
  <si>
    <t>Contactor 70A, coil voltage-110/220/415V</t>
  </si>
  <si>
    <t>Siemens Part No : 3TF4772-0A</t>
  </si>
  <si>
    <t>5</t>
  </si>
  <si>
    <t>Item 5</t>
  </si>
  <si>
    <t>Contactor 170A, coil voltage-110/220/415V</t>
  </si>
  <si>
    <t>Siemens Part No : 3TF5202-0A</t>
  </si>
  <si>
    <t>6</t>
  </si>
  <si>
    <t>Item 6</t>
  </si>
  <si>
    <t>Contactor 250A, coil voltage-110/220/415V</t>
  </si>
  <si>
    <t>Siemens Part No : 3TF5402-0A</t>
  </si>
  <si>
    <t>7</t>
  </si>
  <si>
    <t>Item 7</t>
  </si>
  <si>
    <t>Auxiliary contact for 3TF46-57 1NO+1NC</t>
  </si>
  <si>
    <t>Siemens Part No : 3TY7561-1K</t>
  </si>
  <si>
    <t>8</t>
  </si>
  <si>
    <t>Item 8</t>
  </si>
  <si>
    <t>Contactor 110A, coil voltage-110/220/415V</t>
  </si>
  <si>
    <t>Siemens Part No : 3TF5002-0A</t>
  </si>
  <si>
    <t>9</t>
  </si>
  <si>
    <t>Item 9</t>
  </si>
  <si>
    <t>Auxiliary contact for 3TF/TH30/31/32/33 1NO</t>
  </si>
  <si>
    <t>Siemens Part No : 3TH4010-2A</t>
  </si>
  <si>
    <t>10</t>
  </si>
  <si>
    <t>Item 10</t>
  </si>
  <si>
    <t>Siemens Part No : 3TY7561-1L</t>
  </si>
  <si>
    <t>11</t>
  </si>
  <si>
    <t>Item 11</t>
  </si>
  <si>
    <t>Main contactor kit for 3TF54 (250A)</t>
  </si>
  <si>
    <t>Siemens Part No : 3TY7540-OYA</t>
  </si>
  <si>
    <t>12</t>
  </si>
  <si>
    <t>Item 12</t>
  </si>
  <si>
    <t>Main contactor kit for 3TF52 (170A)</t>
  </si>
  <si>
    <t>Siemens Part No : 3TY7520-OYA</t>
  </si>
  <si>
    <t>13</t>
  </si>
  <si>
    <t>Item 13</t>
  </si>
  <si>
    <t>Main contactor kit for 3TF477 (70A)</t>
  </si>
  <si>
    <t>Siemens Part No : 3TY7477-OYA</t>
  </si>
  <si>
    <t>14</t>
  </si>
  <si>
    <t>Item 14</t>
  </si>
  <si>
    <t>Main contactor kit for 3TF45 (38A)</t>
  </si>
  <si>
    <t>Siemens Part No : 3TY7450-OA</t>
  </si>
  <si>
    <t>15</t>
  </si>
  <si>
    <t>Item 15</t>
  </si>
  <si>
    <t>Main contactor kit for 3TF50 (110A)</t>
  </si>
  <si>
    <t>Siemens Part No : 3TY7500-OYA</t>
  </si>
  <si>
    <t>16</t>
  </si>
  <si>
    <t>Item 16</t>
  </si>
  <si>
    <t>Relay for MTG ON (3TF32/33) 1-1.6A</t>
  </si>
  <si>
    <t>Siemens Part No : 3UA5200-1A</t>
  </si>
  <si>
    <t>17</t>
  </si>
  <si>
    <t>Item 17</t>
  </si>
  <si>
    <t>Relay for MTG ON (3TF32/33) 10-16A</t>
  </si>
  <si>
    <t>Siemens Part No : 3UA5200-2A</t>
  </si>
  <si>
    <t>18</t>
  </si>
  <si>
    <t>Item 18</t>
  </si>
  <si>
    <t>Relay for MTG ON (3TF44/45/34/35) 20-32A</t>
  </si>
  <si>
    <t>Siemens Part No : 3UA5500-2D</t>
  </si>
  <si>
    <t>19</t>
  </si>
  <si>
    <t>Item 19</t>
  </si>
  <si>
    <t>Relay for MTG ON (3TF46/47/48/49) 25-40A</t>
  </si>
  <si>
    <t>Siemens Part No : 3UA5800-2EZ1</t>
  </si>
  <si>
    <t>20</t>
  </si>
  <si>
    <t>Item 20</t>
  </si>
  <si>
    <t>Relay for MTG ON (3TF477) 63-80A</t>
  </si>
  <si>
    <t>Siemens Part No : 3UA5800-2UZ2</t>
  </si>
  <si>
    <t>21</t>
  </si>
  <si>
    <t>Item 21</t>
  </si>
  <si>
    <t>Bi-metal overload relay 85-135A</t>
  </si>
  <si>
    <t>Siemens Part No : 3UA6230-5A</t>
  </si>
  <si>
    <t>22</t>
  </si>
  <si>
    <t>Item 22</t>
  </si>
  <si>
    <t>Relay for MTG ON (3TF32/33) 6.3-10A</t>
  </si>
  <si>
    <t>Siemens Part No : 3UA5200-1J</t>
  </si>
  <si>
    <t>***PLEASE ENTER THE DETAILS AS PER THE INFORMATION AND DOCUMENTS YOU HAVE W.R.T. YOUR OFFERED ITEM(S)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</si>
</sst>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indexed="8"/>
      <name val="Calibri"/>
      <family val="2"/>
    </font>
    <font>
      <b/>
      <sz val="16"/>
      <color indexed="8"/>
      <name val="Calibri"/>
      <family val="2"/>
    </font>
    <font>
      <b/>
      <sz val="15"/>
      <name val="Cambria"/>
      <family val="1"/>
    </font>
    <font>
      <sz val="15"/>
      <color indexed="8"/>
      <name val="Calibri"/>
      <family val="2"/>
    </font>
    <font>
      <sz val="15"/>
      <color indexed="22"/>
      <name val="Calibri"/>
      <family val="2"/>
    </font>
    <font>
      <sz val="15"/>
      <color indexed="8"/>
      <name val="Cambria"/>
      <family val="1"/>
    </font>
    <font>
      <b/>
      <sz val="11"/>
      <color indexed="10"/>
      <name val="Arial"/>
      <family val="2"/>
    </font>
    <font>
      <sz val="11"/>
      <name val="Arial"/>
      <family val="2"/>
    </font>
    <font>
      <sz val="11"/>
      <name val="System"/>
      <family val="2"/>
    </font>
    <font>
      <sz val="15"/>
      <color indexed="9"/>
      <name val="Calibri"/>
      <family val="2"/>
    </font>
    <font>
      <b/>
      <sz val="15"/>
      <color indexed="20"/>
      <name val="Cambria"/>
      <family val="1"/>
    </font>
    <font>
      <b/>
      <sz val="16"/>
      <name val="Cambria"/>
      <family val="1"/>
    </font>
    <font>
      <b/>
      <sz val="16"/>
      <color indexed="10"/>
      <name val="Cambria"/>
      <family val="1"/>
    </font>
    <font>
      <b/>
      <sz val="15"/>
      <color indexed="10"/>
      <name val="Cambria"/>
      <family val="1"/>
    </font>
    <font>
      <b/>
      <sz val="15"/>
      <color indexed="8"/>
      <name val="Cambria"/>
      <family val="1"/>
    </font>
    <font>
      <b/>
      <sz val="16"/>
      <color indexed="8"/>
      <name val="Cambria"/>
      <family val="1"/>
    </font>
    <font>
      <sz val="20"/>
      <name val="Calibri"/>
      <family val="2"/>
    </font>
    <font>
      <sz val="20"/>
      <color indexed="8"/>
      <name val="Calibri"/>
      <family val="2"/>
    </font>
    <font>
      <b/>
      <sz val="20"/>
      <color indexed="48"/>
      <name val="Calibri"/>
      <family val="2"/>
    </font>
    <font>
      <b/>
      <sz val="20"/>
      <name val="Calibri"/>
      <family val="2"/>
    </font>
    <font>
      <b/>
      <sz val="20"/>
      <color indexed="60"/>
      <name val="Calibri"/>
      <family val="2"/>
    </font>
    <font>
      <b/>
      <sz val="20"/>
      <color indexed="20"/>
      <name val="Calibri"/>
      <family val="2"/>
    </font>
    <font>
      <b/>
      <sz val="20"/>
      <color indexed="8"/>
      <name val="Calibri"/>
      <family val="2"/>
    </font>
    <font>
      <sz val="14"/>
      <color indexed="8"/>
      <name val="Cambria"/>
      <family val="1"/>
    </font>
    <font>
      <sz val="14"/>
      <name val="Cambria"/>
      <family val="1"/>
    </font>
    <font>
      <sz val="9"/>
      <color indexed="8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7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15"/>
        <bgColor indexed="35"/>
      </patternFill>
    </fill>
    <fill>
      <patternFill patternType="solid">
        <fgColor indexed="45"/>
        <bgColor indexed="29"/>
      </patternFill>
    </fill>
  </fills>
  <borders count="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1">
    <xf numFmtId="0" fontId="0" fillId="0" borderId="0"/>
  </cellStyleXfs>
  <cellXfs count="49">
    <xf numFmtId="0" fontId="0" fillId="0" borderId="0" xfId="0"/>
    <xf numFmtId="49" fontId="0" fillId="0" borderId="0" xfId="0" applyNumberFormat="1" applyFont="1" applyAlignment="1">
      <alignment vertical="center"/>
    </xf>
    <xf numFmtId="49" fontId="3" fillId="0" borderId="0" xfId="0" applyNumberFormat="1" applyFont="1" applyAlignment="1">
      <alignment vertical="center"/>
    </xf>
    <xf numFmtId="49" fontId="4" fillId="0" borderId="0" xfId="0" applyNumberFormat="1" applyFont="1" applyAlignment="1">
      <alignment vertical="center"/>
    </xf>
    <xf numFmtId="49" fontId="5" fillId="3" borderId="0" xfId="0" applyNumberFormat="1" applyFont="1" applyFill="1" applyAlignment="1">
      <alignment vertical="center"/>
    </xf>
    <xf numFmtId="49" fontId="6" fillId="0" borderId="0" xfId="0" applyNumberFormat="1" applyFont="1" applyAlignment="1">
      <alignment horizontal="center" vertical="center" wrapText="1"/>
    </xf>
    <xf numFmtId="49" fontId="8" fillId="5" borderId="1" xfId="0" applyNumberFormat="1" applyFont="1" applyFill="1" applyBorder="1" applyAlignment="1" applyProtection="1">
      <alignment horizontal="center" vertical="center"/>
    </xf>
    <xf numFmtId="49" fontId="7" fillId="4" borderId="1" xfId="0" applyNumberFormat="1" applyFont="1" applyFill="1" applyBorder="1" applyAlignment="1" applyProtection="1">
      <alignment horizontal="center" vertical="center"/>
    </xf>
    <xf numFmtId="49" fontId="9" fillId="0" borderId="0" xfId="0" applyNumberFormat="1" applyFont="1" applyAlignment="1">
      <alignment vertical="center"/>
    </xf>
    <xf numFmtId="49" fontId="7" fillId="6" borderId="1" xfId="0" applyNumberFormat="1" applyFont="1" applyFill="1" applyBorder="1" applyAlignment="1" applyProtection="1">
      <alignment horizontal="center" vertical="center" wrapText="1"/>
    </xf>
    <xf numFmtId="49" fontId="7" fillId="0" borderId="0" xfId="0" applyNumberFormat="1" applyFont="1" applyAlignment="1">
      <alignment vertical="center" wrapText="1"/>
    </xf>
    <xf numFmtId="49" fontId="8" fillId="7" borderId="1" xfId="0" applyNumberFormat="1" applyFont="1" applyFill="1" applyBorder="1" applyAlignment="1" applyProtection="1">
      <alignment horizontal="center" vertical="center" wrapText="1"/>
    </xf>
    <xf numFmtId="49" fontId="11" fillId="0" borderId="0" xfId="0" applyNumberFormat="1" applyFont="1" applyAlignment="1">
      <alignment vertical="center"/>
    </xf>
    <xf numFmtId="49" fontId="12" fillId="0" borderId="0" xfId="0" applyNumberFormat="1" applyFont="1" applyAlignment="1">
      <alignment horizontal="center" vertical="center" wrapText="1"/>
    </xf>
    <xf numFmtId="49" fontId="11" fillId="6" borderId="1" xfId="0" applyNumberFormat="1" applyFont="1" applyFill="1" applyBorder="1" applyAlignment="1" applyProtection="1">
      <alignment horizontal="center" vertical="center" wrapText="1"/>
    </xf>
    <xf numFmtId="49" fontId="11" fillId="8" borderId="1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Alignment="1">
      <alignment vertical="center" wrapText="1"/>
    </xf>
    <xf numFmtId="49" fontId="2" fillId="2" borderId="4" xfId="0" applyNumberFormat="1" applyFont="1" applyFill="1" applyBorder="1" applyAlignment="1">
      <alignment vertical="center" wrapText="1"/>
    </xf>
    <xf numFmtId="49" fontId="2" fillId="2" borderId="6" xfId="0" applyNumberFormat="1" applyFont="1" applyFill="1" applyBorder="1" applyAlignment="1">
      <alignment vertical="center" wrapText="1"/>
    </xf>
    <xf numFmtId="49" fontId="2" fillId="2" borderId="6" xfId="0" applyNumberFormat="1" applyFont="1" applyFill="1" applyBorder="1" applyAlignment="1">
      <alignment horizontal="center" vertical="center" wrapText="1"/>
    </xf>
    <xf numFmtId="49" fontId="14" fillId="2" borderId="4" xfId="0" applyNumberFormat="1" applyFont="1" applyFill="1" applyBorder="1" applyAlignment="1">
      <alignment vertical="center"/>
    </xf>
    <xf numFmtId="49" fontId="2" fillId="2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vertical="center"/>
    </xf>
    <xf numFmtId="49" fontId="16" fillId="2" borderId="7" xfId="0" applyNumberFormat="1" applyFont="1" applyFill="1" applyBorder="1" applyAlignment="1">
      <alignment horizontal="center" vertical="center" wrapText="1"/>
    </xf>
    <xf numFmtId="49" fontId="17" fillId="2" borderId="7" xfId="0" applyNumberFormat="1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vertical="center" wrapText="1"/>
    </xf>
    <xf numFmtId="49" fontId="16" fillId="2" borderId="7" xfId="0" applyNumberFormat="1" applyFont="1" applyFill="1" applyBorder="1" applyAlignment="1">
      <alignment horizontal="left" vertical="center" wrapText="1"/>
    </xf>
    <xf numFmtId="49" fontId="18" fillId="2" borderId="7" xfId="0" applyNumberFormat="1" applyFont="1" applyFill="1" applyBorder="1" applyAlignment="1">
      <alignment horizontal="center" vertical="center" wrapText="1"/>
    </xf>
    <xf numFmtId="49" fontId="19" fillId="2" borderId="7" xfId="0" applyNumberFormat="1" applyFont="1" applyFill="1" applyBorder="1" applyAlignment="1">
      <alignment horizontal="center" vertical="center" wrapText="1"/>
    </xf>
    <xf numFmtId="49" fontId="19" fillId="2" borderId="7" xfId="0" applyNumberFormat="1" applyFont="1" applyFill="1" applyBorder="1" applyAlignment="1" applyProtection="1">
      <alignment horizontal="center" vertical="center" wrapText="1"/>
    </xf>
    <xf numFmtId="49" fontId="19" fillId="3" borderId="7" xfId="0" applyNumberFormat="1" applyFont="1" applyFill="1" applyBorder="1" applyAlignment="1" applyProtection="1">
      <alignment horizontal="center" vertical="center" wrapText="1"/>
      <protection locked="0"/>
    </xf>
    <xf numFmtId="49" fontId="20" fillId="5" borderId="7" xfId="0" applyNumberFormat="1" applyFont="1" applyFill="1" applyBorder="1" applyAlignment="1">
      <alignment horizontal="center" vertical="center" wrapText="1"/>
    </xf>
    <xf numFmtId="49" fontId="21" fillId="2" borderId="7" xfId="0" applyNumberFormat="1" applyFont="1" applyFill="1" applyBorder="1" applyAlignment="1">
      <alignment horizontal="center" vertical="center" wrapText="1"/>
    </xf>
    <xf numFmtId="49" fontId="22" fillId="0" borderId="7" xfId="0" applyNumberFormat="1" applyFont="1" applyBorder="1" applyAlignment="1" applyProtection="1">
      <alignment horizontal="center" vertical="center"/>
      <protection locked="0"/>
    </xf>
    <xf numFmtId="49" fontId="23" fillId="0" borderId="0" xfId="0" applyNumberFormat="1" applyFont="1" applyAlignment="1">
      <alignment vertical="center"/>
    </xf>
    <xf numFmtId="49" fontId="24" fillId="6" borderId="1" xfId="0" applyNumberFormat="1" applyFont="1" applyFill="1" applyBorder="1" applyAlignment="1" applyProtection="1">
      <alignment horizontal="center" vertical="center" wrapText="1"/>
    </xf>
    <xf numFmtId="49" fontId="0" fillId="0" borderId="0" xfId="0" applyNumberFormat="1" applyFont="1" applyBorder="1" applyAlignment="1">
      <alignment vertical="center"/>
    </xf>
    <xf numFmtId="0" fontId="1" fillId="0" borderId="0" xfId="0" applyFont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left" vertical="center" wrapText="1"/>
    </xf>
    <xf numFmtId="49" fontId="7" fillId="4" borderId="2" xfId="0" applyNumberFormat="1" applyFont="1" applyFill="1" applyBorder="1" applyAlignment="1" applyProtection="1">
      <alignment horizontal="center" vertical="center"/>
    </xf>
    <xf numFmtId="49" fontId="7" fillId="4" borderId="1" xfId="0" applyNumberFormat="1" applyFont="1" applyFill="1" applyBorder="1" applyAlignment="1" applyProtection="1">
      <alignment horizontal="center" vertical="center"/>
    </xf>
    <xf numFmtId="49" fontId="2" fillId="2" borderId="2" xfId="0" applyNumberFormat="1" applyFont="1" applyFill="1" applyBorder="1" applyAlignment="1">
      <alignment horizontal="left" vertical="center" wrapText="1"/>
    </xf>
    <xf numFmtId="49" fontId="2" fillId="3" borderId="3" xfId="0" applyNumberFormat="1" applyFont="1" applyFill="1" applyBorder="1" applyAlignment="1" applyProtection="1">
      <alignment horizontal="left" vertical="center" wrapText="1"/>
      <protection locked="0"/>
    </xf>
    <xf numFmtId="49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1" fillId="4" borderId="2" xfId="0" applyNumberFormat="1" applyFont="1" applyFill="1" applyBorder="1" applyAlignment="1" applyProtection="1">
      <alignment horizontal="center" vertical="center"/>
    </xf>
    <xf numFmtId="49" fontId="2" fillId="2" borderId="4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2" borderId="5" xfId="0" applyNumberFormat="1" applyFont="1" applyFill="1" applyBorder="1" applyAlignment="1">
      <alignment horizontal="center" vertical="center" wrapText="1"/>
    </xf>
    <xf numFmtId="49" fontId="10" fillId="2" borderId="7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7">
    <dxf>
      <font>
        <b val="0"/>
        <condense val="0"/>
        <extend val="0"/>
        <sz val="11"/>
        <color indexed="17"/>
      </font>
      <fill>
        <patternFill patternType="solid">
          <fgColor indexed="27"/>
          <bgColor indexed="42"/>
        </patternFill>
      </fill>
    </dxf>
    <dxf>
      <font>
        <b val="0"/>
        <condense val="0"/>
        <extend val="0"/>
        <sz val="11"/>
        <color indexed="10"/>
      </font>
      <fill>
        <patternFill patternType="solid">
          <fgColor indexed="26"/>
          <bgColor indexed="9"/>
        </patternFill>
      </fill>
    </dxf>
    <dxf>
      <font>
        <b/>
        <i val="0"/>
        <condense val="0"/>
        <extend val="0"/>
        <sz val="11"/>
        <color indexed="10"/>
      </font>
      <fill>
        <patternFill patternType="solid">
          <fgColor indexed="26"/>
          <bgColor indexed="9"/>
        </patternFill>
      </fill>
    </dxf>
    <dxf>
      <font>
        <b val="0"/>
        <condense val="0"/>
        <extend val="0"/>
        <sz val="11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1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1"/>
        <color indexed="20"/>
      </font>
    </dxf>
    <dxf>
      <font>
        <b val="0"/>
        <i val="0"/>
        <strike val="0"/>
        <condense val="0"/>
        <extend val="0"/>
        <sz val="11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6:K14"/>
  <sheetViews>
    <sheetView tabSelected="1" workbookViewId="0">
      <selection activeCell="E6" sqref="E6:K14"/>
    </sheetView>
  </sheetViews>
  <sheetFormatPr defaultColWidth="9" defaultRowHeight="15" x14ac:dyDescent="0.25"/>
  <sheetData>
    <row r="6" spans="5:11" ht="21" customHeight="1" x14ac:dyDescent="0.25">
      <c r="E6" s="37" t="s">
        <v>0</v>
      </c>
      <c r="F6" s="37"/>
      <c r="G6" s="37"/>
      <c r="H6" s="37"/>
      <c r="I6" s="37"/>
      <c r="J6" s="37"/>
      <c r="K6" s="37"/>
    </row>
    <row r="7" spans="5:11" x14ac:dyDescent="0.25">
      <c r="E7" s="37"/>
      <c r="F7" s="37"/>
      <c r="G7" s="37"/>
      <c r="H7" s="37"/>
      <c r="I7" s="37"/>
      <c r="J7" s="37"/>
      <c r="K7" s="37"/>
    </row>
    <row r="8" spans="5:11" x14ac:dyDescent="0.25">
      <c r="E8" s="37"/>
      <c r="F8" s="37"/>
      <c r="G8" s="37"/>
      <c r="H8" s="37"/>
      <c r="I8" s="37"/>
      <c r="J8" s="37"/>
      <c r="K8" s="37"/>
    </row>
    <row r="9" spans="5:11" x14ac:dyDescent="0.25">
      <c r="E9" s="37"/>
      <c r="F9" s="37"/>
      <c r="G9" s="37"/>
      <c r="H9" s="37"/>
      <c r="I9" s="37"/>
      <c r="J9" s="37"/>
      <c r="K9" s="37"/>
    </row>
    <row r="10" spans="5:11" x14ac:dyDescent="0.25">
      <c r="E10" s="37"/>
      <c r="F10" s="37"/>
      <c r="G10" s="37"/>
      <c r="H10" s="37"/>
      <c r="I10" s="37"/>
      <c r="J10" s="37"/>
      <c r="K10" s="37"/>
    </row>
    <row r="11" spans="5:11" x14ac:dyDescent="0.25">
      <c r="E11" s="37"/>
      <c r="F11" s="37"/>
      <c r="G11" s="37"/>
      <c r="H11" s="37"/>
      <c r="I11" s="37"/>
      <c r="J11" s="37"/>
      <c r="K11" s="37"/>
    </row>
    <row r="12" spans="5:11" x14ac:dyDescent="0.25">
      <c r="E12" s="37"/>
      <c r="F12" s="37"/>
      <c r="G12" s="37"/>
      <c r="H12" s="37"/>
      <c r="I12" s="37"/>
      <c r="J12" s="37"/>
      <c r="K12" s="37"/>
    </row>
    <row r="13" spans="5:11" x14ac:dyDescent="0.25">
      <c r="E13" s="37"/>
      <c r="F13" s="37"/>
      <c r="G13" s="37"/>
      <c r="H13" s="37"/>
      <c r="I13" s="37"/>
      <c r="J13" s="37"/>
      <c r="K13" s="37"/>
    </row>
    <row r="14" spans="5:11" x14ac:dyDescent="0.25">
      <c r="E14" s="37"/>
      <c r="F14" s="37"/>
      <c r="G14" s="37"/>
      <c r="H14" s="37"/>
      <c r="I14" s="37"/>
      <c r="J14" s="37"/>
      <c r="K14" s="37"/>
    </row>
  </sheetData>
  <sheetProtection password="EEC8" sheet="1"/>
  <mergeCells count="1">
    <mergeCell ref="E6:K14"/>
  </mergeCells>
  <pageMargins left="0.75" right="0.75" top="1" bottom="1" header="0.51180555555555551" footer="0.51180555555555551"/>
  <pageSetup firstPageNumber="0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11" sqref="J11"/>
    </sheetView>
  </sheetViews>
  <sheetFormatPr defaultColWidth="9" defaultRowHeight="15" x14ac:dyDescent="0.25"/>
  <sheetData/>
  <sheetProtection selectLockedCells="1" selectUnlockedCells="1"/>
  <pageMargins left="0.7" right="0.7" top="0.75" bottom="0.75" header="0.51180555555555551" footer="0.51180555555555551"/>
  <pageSetup paperSize="9"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30"/>
  <sheetViews>
    <sheetView zoomScale="55" zoomScaleNormal="55" workbookViewId="0"/>
  </sheetViews>
  <sheetFormatPr defaultRowHeight="15" x14ac:dyDescent="0.25"/>
  <cols>
    <col min="1" max="1" width="11" style="1" customWidth="1"/>
    <col min="2" max="2" width="19.5703125" style="1" customWidth="1"/>
    <col min="3" max="3" width="51.7109375" style="1" customWidth="1"/>
    <col min="4" max="4" width="14.7109375" style="1" customWidth="1"/>
    <col min="5" max="5" width="36.28515625" style="1" customWidth="1"/>
    <col min="6" max="6" width="13.85546875" style="1" customWidth="1"/>
    <col min="7" max="7" width="23.7109375" style="1" customWidth="1"/>
    <col min="8" max="9" width="11.85546875" style="1" hidden="1" customWidth="1"/>
    <col min="10" max="10" width="14.28515625" style="1" customWidth="1"/>
    <col min="11" max="11" width="13.7109375" style="1" customWidth="1"/>
    <col min="12" max="12" width="22.42578125" style="1" customWidth="1"/>
    <col min="13" max="13" width="19.42578125" style="1" customWidth="1"/>
    <col min="14" max="14" width="21.140625" style="1" customWidth="1"/>
    <col min="15" max="15" width="19.85546875" style="1" customWidth="1"/>
    <col min="16" max="16" width="14" style="1" customWidth="1"/>
    <col min="17" max="21" width="9.140625" style="1" customWidth="1"/>
    <col min="22" max="22" width="6.5703125" style="1" hidden="1" customWidth="1"/>
    <col min="23" max="23" width="31.85546875" style="1" hidden="1" customWidth="1"/>
    <col min="24" max="24" width="9.140625" style="1" hidden="1" customWidth="1"/>
    <col min="25" max="25" width="33" style="1" hidden="1" customWidth="1"/>
    <col min="26" max="26" width="12.7109375" style="1" hidden="1" customWidth="1"/>
    <col min="27" max="27" width="9.85546875" style="1" hidden="1" customWidth="1"/>
    <col min="28" max="28" width="9.140625" style="1" hidden="1" customWidth="1"/>
    <col min="29" max="29" width="14.7109375" style="1" hidden="1" customWidth="1"/>
    <col min="30" max="30" width="9" style="1" hidden="1" customWidth="1"/>
    <col min="31" max="16384" width="9.140625" style="1"/>
  </cols>
  <sheetData>
    <row r="1" spans="1:29" ht="27.2" customHeight="1" x14ac:dyDescent="0.25">
      <c r="A1" s="38" t="s">
        <v>1</v>
      </c>
      <c r="B1" s="38"/>
      <c r="C1" s="38"/>
      <c r="D1" s="38"/>
      <c r="E1" s="38"/>
      <c r="F1" s="38"/>
      <c r="G1" s="2"/>
      <c r="H1" s="2"/>
      <c r="I1" s="2"/>
      <c r="J1" s="2"/>
      <c r="K1" s="2"/>
      <c r="L1" s="3"/>
      <c r="M1" s="4" t="s">
        <v>2</v>
      </c>
      <c r="N1" s="4" t="s">
        <v>3</v>
      </c>
      <c r="O1" s="4"/>
      <c r="W1" s="5" t="s">
        <v>4</v>
      </c>
      <c r="Y1" s="5" t="s">
        <v>5</v>
      </c>
      <c r="Z1" s="39" t="s">
        <v>6</v>
      </c>
      <c r="AB1" s="6" t="s">
        <v>7</v>
      </c>
      <c r="AC1" s="40" t="s">
        <v>8</v>
      </c>
    </row>
    <row r="2" spans="1:29" ht="43.5" customHeight="1" x14ac:dyDescent="0.25">
      <c r="A2" s="38" t="s">
        <v>9</v>
      </c>
      <c r="B2" s="38"/>
      <c r="C2" s="38"/>
      <c r="D2" s="38"/>
      <c r="E2" s="38"/>
      <c r="F2" s="38"/>
      <c r="G2" s="2"/>
      <c r="H2" s="2"/>
      <c r="I2" s="2"/>
      <c r="J2" s="2"/>
      <c r="K2" s="2"/>
      <c r="L2" s="2"/>
      <c r="M2" s="2"/>
      <c r="N2" s="2"/>
      <c r="O2" s="8"/>
      <c r="W2" s="9" t="s">
        <v>10</v>
      </c>
      <c r="Y2" s="9" t="s">
        <v>11</v>
      </c>
      <c r="Z2" s="39"/>
      <c r="AB2" s="6" t="s">
        <v>12</v>
      </c>
      <c r="AC2" s="40"/>
    </row>
    <row r="3" spans="1:29" ht="27.2" customHeight="1" x14ac:dyDescent="0.25">
      <c r="A3" s="38" t="s">
        <v>13</v>
      </c>
      <c r="B3" s="38"/>
      <c r="C3" s="38"/>
      <c r="D3" s="38"/>
      <c r="E3" s="38"/>
      <c r="F3" s="38"/>
      <c r="G3" s="2"/>
      <c r="H3" s="2"/>
      <c r="I3" s="2"/>
      <c r="J3" s="2"/>
      <c r="K3" s="2"/>
      <c r="L3" s="2"/>
      <c r="M3" s="2"/>
      <c r="N3" s="2"/>
      <c r="O3" s="2"/>
      <c r="W3" s="10"/>
      <c r="Y3" s="9" t="s">
        <v>14</v>
      </c>
      <c r="Z3" s="39"/>
      <c r="AB3" s="6" t="s">
        <v>15</v>
      </c>
      <c r="AC3" s="40"/>
    </row>
    <row r="4" spans="1:29" ht="27.2" customHeight="1" x14ac:dyDescent="0.25">
      <c r="A4" s="41" t="s">
        <v>16</v>
      </c>
      <c r="B4" s="41"/>
      <c r="C4" s="42"/>
      <c r="D4" s="42"/>
      <c r="E4" s="42"/>
      <c r="F4" s="42"/>
      <c r="G4" s="2"/>
      <c r="H4" s="2"/>
      <c r="I4" s="2"/>
      <c r="J4" s="2"/>
      <c r="K4" s="2"/>
      <c r="L4" s="2"/>
      <c r="M4" s="2"/>
      <c r="N4" s="2"/>
      <c r="O4" s="2"/>
      <c r="W4" s="10"/>
      <c r="Y4" s="9" t="s">
        <v>17</v>
      </c>
      <c r="Z4" s="39"/>
      <c r="AB4" s="11" t="s">
        <v>18</v>
      </c>
      <c r="AC4" s="7" t="s">
        <v>19</v>
      </c>
    </row>
    <row r="5" spans="1:29" s="12" customFormat="1" ht="36.950000000000003" customHeight="1" x14ac:dyDescent="0.25">
      <c r="A5" s="43" t="s">
        <v>20</v>
      </c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W5" s="13" t="s">
        <v>21</v>
      </c>
      <c r="Y5" s="14" t="s">
        <v>22</v>
      </c>
      <c r="Z5" s="39"/>
      <c r="AB5" s="15" t="s">
        <v>7</v>
      </c>
      <c r="AC5" s="44" t="s">
        <v>23</v>
      </c>
    </row>
    <row r="6" spans="1:29" s="12" customFormat="1" ht="30" customHeight="1" x14ac:dyDescent="0.25">
      <c r="A6" s="45" t="s">
        <v>24</v>
      </c>
      <c r="B6" s="45" t="s">
        <v>25</v>
      </c>
      <c r="C6" s="45" t="s">
        <v>26</v>
      </c>
      <c r="D6" s="45" t="s">
        <v>27</v>
      </c>
      <c r="E6" s="46" t="s">
        <v>28</v>
      </c>
      <c r="F6" s="45" t="s">
        <v>29</v>
      </c>
      <c r="G6" s="45" t="s">
        <v>30</v>
      </c>
      <c r="H6" s="16" t="s">
        <v>31</v>
      </c>
      <c r="I6" s="16" t="s">
        <v>32</v>
      </c>
      <c r="J6" s="47" t="s">
        <v>33</v>
      </c>
      <c r="K6" s="47"/>
      <c r="L6" s="17" t="s">
        <v>34</v>
      </c>
      <c r="M6" s="45" t="s">
        <v>35</v>
      </c>
      <c r="N6" s="45"/>
      <c r="O6" s="45" t="s">
        <v>36</v>
      </c>
      <c r="W6" s="14" t="s">
        <v>37</v>
      </c>
      <c r="Y6" s="14" t="s">
        <v>38</v>
      </c>
      <c r="Z6" s="39"/>
      <c r="AB6" s="15" t="s">
        <v>39</v>
      </c>
      <c r="AC6" s="44"/>
    </row>
    <row r="7" spans="1:29" s="22" customFormat="1" ht="37.5" x14ac:dyDescent="0.25">
      <c r="A7" s="45"/>
      <c r="B7" s="45"/>
      <c r="C7" s="45"/>
      <c r="D7" s="45"/>
      <c r="E7" s="46"/>
      <c r="F7" s="45"/>
      <c r="G7" s="45"/>
      <c r="H7" s="18"/>
      <c r="I7" s="18"/>
      <c r="J7" s="19" t="s">
        <v>40</v>
      </c>
      <c r="K7" s="19" t="s">
        <v>41</v>
      </c>
      <c r="L7" s="20"/>
      <c r="M7" s="21" t="s">
        <v>42</v>
      </c>
      <c r="N7" s="19" t="s">
        <v>43</v>
      </c>
      <c r="O7" s="45"/>
      <c r="W7" s="13" t="s">
        <v>44</v>
      </c>
      <c r="Y7" s="14" t="s">
        <v>45</v>
      </c>
      <c r="Z7" s="39"/>
      <c r="AB7" s="15" t="s">
        <v>46</v>
      </c>
      <c r="AC7" s="44"/>
    </row>
    <row r="8" spans="1:29" s="34" customFormat="1" ht="52.5" x14ac:dyDescent="0.25">
      <c r="A8" s="23" t="s">
        <v>47</v>
      </c>
      <c r="B8" s="24" t="s">
        <v>48</v>
      </c>
      <c r="C8" s="25" t="s">
        <v>49</v>
      </c>
      <c r="D8" s="26"/>
      <c r="E8" s="25" t="s">
        <v>50</v>
      </c>
      <c r="F8" s="23" t="s">
        <v>51</v>
      </c>
      <c r="G8" s="27" t="s">
        <v>10</v>
      </c>
      <c r="H8" s="28"/>
      <c r="I8" s="28"/>
      <c r="J8" s="29" t="s">
        <v>39</v>
      </c>
      <c r="K8" s="28"/>
      <c r="L8" s="30" t="s">
        <v>7</v>
      </c>
      <c r="M8" s="31">
        <f t="shared" ref="M8:M29" si="0">IF(J8="NOT NULL",ISTEXT(L8),tech_eval(L8,J8,K8,G8))</f>
        <v>0</v>
      </c>
      <c r="N8" s="32">
        <f t="shared" ref="N8:N29" si="1">IF(AND(M8:M8),"COMPLIED","NOT-COMPLIED")</f>
        <v>0</v>
      </c>
      <c r="O8" s="33"/>
      <c r="W8" s="35"/>
      <c r="Y8" s="35"/>
      <c r="Z8" s="36"/>
    </row>
    <row r="9" spans="1:29" s="34" customFormat="1" ht="52.5" x14ac:dyDescent="0.25">
      <c r="A9" s="23" t="s">
        <v>52</v>
      </c>
      <c r="B9" s="24" t="s">
        <v>53</v>
      </c>
      <c r="C9" s="25" t="s">
        <v>54</v>
      </c>
      <c r="D9" s="26"/>
      <c r="E9" s="25" t="s">
        <v>55</v>
      </c>
      <c r="F9" s="23" t="s">
        <v>51</v>
      </c>
      <c r="G9" s="27" t="s">
        <v>10</v>
      </c>
      <c r="H9" s="28"/>
      <c r="I9" s="28"/>
      <c r="J9" s="29" t="s">
        <v>39</v>
      </c>
      <c r="K9" s="28"/>
      <c r="L9" s="30" t="s">
        <v>7</v>
      </c>
      <c r="M9" s="31">
        <f t="shared" si="0"/>
        <v>0</v>
      </c>
      <c r="N9" s="32">
        <f t="shared" si="1"/>
        <v>0</v>
      </c>
      <c r="O9" s="33"/>
      <c r="W9" s="35"/>
      <c r="Y9" s="35"/>
      <c r="Z9" s="36"/>
    </row>
    <row r="10" spans="1:29" s="34" customFormat="1" ht="52.5" x14ac:dyDescent="0.25">
      <c r="A10" s="23" t="s">
        <v>56</v>
      </c>
      <c r="B10" s="24" t="s">
        <v>57</v>
      </c>
      <c r="C10" s="25" t="s">
        <v>58</v>
      </c>
      <c r="D10" s="26"/>
      <c r="E10" s="25" t="s">
        <v>59</v>
      </c>
      <c r="F10" s="23" t="s">
        <v>51</v>
      </c>
      <c r="G10" s="27" t="s">
        <v>10</v>
      </c>
      <c r="H10" s="28"/>
      <c r="I10" s="28"/>
      <c r="J10" s="29" t="s">
        <v>39</v>
      </c>
      <c r="K10" s="28"/>
      <c r="L10" s="30" t="s">
        <v>7</v>
      </c>
      <c r="M10" s="31">
        <f t="shared" si="0"/>
        <v>0</v>
      </c>
      <c r="N10" s="32">
        <f t="shared" si="1"/>
        <v>0</v>
      </c>
      <c r="O10" s="33"/>
      <c r="W10" s="35"/>
      <c r="Y10" s="35"/>
      <c r="Z10" s="36"/>
    </row>
    <row r="11" spans="1:29" s="34" customFormat="1" ht="52.5" x14ac:dyDescent="0.25">
      <c r="A11" s="23" t="s">
        <v>60</v>
      </c>
      <c r="B11" s="24" t="s">
        <v>61</v>
      </c>
      <c r="C11" s="25" t="s">
        <v>62</v>
      </c>
      <c r="D11" s="26"/>
      <c r="E11" s="25" t="s">
        <v>63</v>
      </c>
      <c r="F11" s="23" t="s">
        <v>51</v>
      </c>
      <c r="G11" s="27" t="s">
        <v>10</v>
      </c>
      <c r="H11" s="28"/>
      <c r="I11" s="28"/>
      <c r="J11" s="29" t="s">
        <v>39</v>
      </c>
      <c r="K11" s="28"/>
      <c r="L11" s="30" t="s">
        <v>7</v>
      </c>
      <c r="M11" s="31">
        <f t="shared" si="0"/>
        <v>0</v>
      </c>
      <c r="N11" s="32">
        <f t="shared" si="1"/>
        <v>0</v>
      </c>
      <c r="O11" s="33"/>
      <c r="W11" s="35"/>
      <c r="Y11" s="35"/>
      <c r="Z11" s="36"/>
    </row>
    <row r="12" spans="1:29" s="34" customFormat="1" ht="52.5" x14ac:dyDescent="0.25">
      <c r="A12" s="23" t="s">
        <v>64</v>
      </c>
      <c r="B12" s="24" t="s">
        <v>65</v>
      </c>
      <c r="C12" s="25" t="s">
        <v>66</v>
      </c>
      <c r="D12" s="26"/>
      <c r="E12" s="25" t="s">
        <v>67</v>
      </c>
      <c r="F12" s="23" t="s">
        <v>51</v>
      </c>
      <c r="G12" s="27" t="s">
        <v>10</v>
      </c>
      <c r="H12" s="28"/>
      <c r="I12" s="28"/>
      <c r="J12" s="29" t="s">
        <v>39</v>
      </c>
      <c r="K12" s="28"/>
      <c r="L12" s="30" t="s">
        <v>7</v>
      </c>
      <c r="M12" s="31">
        <f t="shared" si="0"/>
        <v>0</v>
      </c>
      <c r="N12" s="32">
        <f t="shared" si="1"/>
        <v>0</v>
      </c>
      <c r="O12" s="33"/>
      <c r="W12" s="35"/>
      <c r="Y12" s="35"/>
      <c r="Z12" s="36"/>
    </row>
    <row r="13" spans="1:29" s="34" customFormat="1" ht="52.5" x14ac:dyDescent="0.25">
      <c r="A13" s="23" t="s">
        <v>68</v>
      </c>
      <c r="B13" s="24" t="s">
        <v>69</v>
      </c>
      <c r="C13" s="25" t="s">
        <v>70</v>
      </c>
      <c r="D13" s="26"/>
      <c r="E13" s="25" t="s">
        <v>71</v>
      </c>
      <c r="F13" s="23" t="s">
        <v>51</v>
      </c>
      <c r="G13" s="27" t="s">
        <v>10</v>
      </c>
      <c r="H13" s="28"/>
      <c r="I13" s="28"/>
      <c r="J13" s="29" t="s">
        <v>39</v>
      </c>
      <c r="K13" s="28"/>
      <c r="L13" s="30" t="s">
        <v>7</v>
      </c>
      <c r="M13" s="31">
        <f t="shared" si="0"/>
        <v>0</v>
      </c>
      <c r="N13" s="32">
        <f t="shared" si="1"/>
        <v>0</v>
      </c>
      <c r="O13" s="33"/>
      <c r="W13" s="35"/>
      <c r="Y13" s="35"/>
      <c r="Z13" s="36"/>
    </row>
    <row r="14" spans="1:29" s="34" customFormat="1" ht="52.5" x14ac:dyDescent="0.25">
      <c r="A14" s="23" t="s">
        <v>72</v>
      </c>
      <c r="B14" s="24" t="s">
        <v>73</v>
      </c>
      <c r="C14" s="25" t="s">
        <v>74</v>
      </c>
      <c r="D14" s="26"/>
      <c r="E14" s="25" t="s">
        <v>75</v>
      </c>
      <c r="F14" s="23" t="s">
        <v>51</v>
      </c>
      <c r="G14" s="27" t="s">
        <v>10</v>
      </c>
      <c r="H14" s="28"/>
      <c r="I14" s="28"/>
      <c r="J14" s="29" t="s">
        <v>39</v>
      </c>
      <c r="K14" s="28"/>
      <c r="L14" s="30" t="s">
        <v>7</v>
      </c>
      <c r="M14" s="31">
        <f t="shared" si="0"/>
        <v>0</v>
      </c>
      <c r="N14" s="32">
        <f t="shared" si="1"/>
        <v>0</v>
      </c>
      <c r="O14" s="33"/>
      <c r="W14" s="35"/>
      <c r="Y14" s="35"/>
      <c r="Z14" s="36"/>
    </row>
    <row r="15" spans="1:29" s="34" customFormat="1" ht="52.5" x14ac:dyDescent="0.25">
      <c r="A15" s="23" t="s">
        <v>76</v>
      </c>
      <c r="B15" s="24" t="s">
        <v>77</v>
      </c>
      <c r="C15" s="25" t="s">
        <v>78</v>
      </c>
      <c r="D15" s="26"/>
      <c r="E15" s="25" t="s">
        <v>79</v>
      </c>
      <c r="F15" s="23" t="s">
        <v>51</v>
      </c>
      <c r="G15" s="27" t="s">
        <v>10</v>
      </c>
      <c r="H15" s="28"/>
      <c r="I15" s="28"/>
      <c r="J15" s="29" t="s">
        <v>39</v>
      </c>
      <c r="K15" s="28"/>
      <c r="L15" s="30" t="s">
        <v>7</v>
      </c>
      <c r="M15" s="31">
        <f t="shared" si="0"/>
        <v>0</v>
      </c>
      <c r="N15" s="32">
        <f t="shared" si="1"/>
        <v>0</v>
      </c>
      <c r="O15" s="33"/>
      <c r="W15" s="35"/>
      <c r="Y15" s="35"/>
      <c r="Z15" s="36"/>
    </row>
    <row r="16" spans="1:29" s="34" customFormat="1" ht="52.5" x14ac:dyDescent="0.25">
      <c r="A16" s="23" t="s">
        <v>80</v>
      </c>
      <c r="B16" s="24" t="s">
        <v>81</v>
      </c>
      <c r="C16" s="25" t="s">
        <v>82</v>
      </c>
      <c r="D16" s="26"/>
      <c r="E16" s="25" t="s">
        <v>83</v>
      </c>
      <c r="F16" s="23" t="s">
        <v>51</v>
      </c>
      <c r="G16" s="27" t="s">
        <v>10</v>
      </c>
      <c r="H16" s="28"/>
      <c r="I16" s="28"/>
      <c r="J16" s="29" t="s">
        <v>39</v>
      </c>
      <c r="K16" s="28"/>
      <c r="L16" s="30" t="s">
        <v>7</v>
      </c>
      <c r="M16" s="31">
        <f t="shared" si="0"/>
        <v>0</v>
      </c>
      <c r="N16" s="32">
        <f t="shared" si="1"/>
        <v>0</v>
      </c>
      <c r="O16" s="33"/>
      <c r="W16" s="35"/>
      <c r="Y16" s="35"/>
      <c r="Z16" s="36"/>
    </row>
    <row r="17" spans="1:26" s="34" customFormat="1" ht="52.5" x14ac:dyDescent="0.25">
      <c r="A17" s="23" t="s">
        <v>84</v>
      </c>
      <c r="B17" s="24" t="s">
        <v>85</v>
      </c>
      <c r="C17" s="25" t="s">
        <v>74</v>
      </c>
      <c r="D17" s="26"/>
      <c r="E17" s="25" t="s">
        <v>86</v>
      </c>
      <c r="F17" s="23" t="s">
        <v>51</v>
      </c>
      <c r="G17" s="27" t="s">
        <v>10</v>
      </c>
      <c r="H17" s="28"/>
      <c r="I17" s="28"/>
      <c r="J17" s="29" t="s">
        <v>39</v>
      </c>
      <c r="K17" s="28"/>
      <c r="L17" s="30" t="s">
        <v>7</v>
      </c>
      <c r="M17" s="31">
        <f t="shared" si="0"/>
        <v>0</v>
      </c>
      <c r="N17" s="32">
        <f t="shared" si="1"/>
        <v>0</v>
      </c>
      <c r="O17" s="33"/>
      <c r="W17" s="35"/>
      <c r="Y17" s="35"/>
      <c r="Z17" s="36"/>
    </row>
    <row r="18" spans="1:26" s="34" customFormat="1" ht="52.5" x14ac:dyDescent="0.25">
      <c r="A18" s="23" t="s">
        <v>87</v>
      </c>
      <c r="B18" s="24" t="s">
        <v>88</v>
      </c>
      <c r="C18" s="25" t="s">
        <v>89</v>
      </c>
      <c r="D18" s="26"/>
      <c r="E18" s="25" t="s">
        <v>90</v>
      </c>
      <c r="F18" s="23" t="s">
        <v>51</v>
      </c>
      <c r="G18" s="27" t="s">
        <v>10</v>
      </c>
      <c r="H18" s="28"/>
      <c r="I18" s="28"/>
      <c r="J18" s="29" t="s">
        <v>39</v>
      </c>
      <c r="K18" s="28"/>
      <c r="L18" s="30" t="s">
        <v>7</v>
      </c>
      <c r="M18" s="31">
        <f t="shared" si="0"/>
        <v>0</v>
      </c>
      <c r="N18" s="32">
        <f t="shared" si="1"/>
        <v>0</v>
      </c>
      <c r="O18" s="33"/>
      <c r="W18" s="35"/>
      <c r="Y18" s="35"/>
      <c r="Z18" s="36"/>
    </row>
    <row r="19" spans="1:26" s="34" customFormat="1" ht="52.5" x14ac:dyDescent="0.25">
      <c r="A19" s="23" t="s">
        <v>91</v>
      </c>
      <c r="B19" s="24" t="s">
        <v>92</v>
      </c>
      <c r="C19" s="25" t="s">
        <v>93</v>
      </c>
      <c r="D19" s="26"/>
      <c r="E19" s="25" t="s">
        <v>94</v>
      </c>
      <c r="F19" s="23" t="s">
        <v>51</v>
      </c>
      <c r="G19" s="27" t="s">
        <v>10</v>
      </c>
      <c r="H19" s="28"/>
      <c r="I19" s="28"/>
      <c r="J19" s="29" t="s">
        <v>39</v>
      </c>
      <c r="K19" s="28"/>
      <c r="L19" s="30" t="s">
        <v>7</v>
      </c>
      <c r="M19" s="31">
        <f t="shared" si="0"/>
        <v>0</v>
      </c>
      <c r="N19" s="32">
        <f t="shared" si="1"/>
        <v>0</v>
      </c>
      <c r="O19" s="33"/>
      <c r="W19" s="35"/>
      <c r="Y19" s="35"/>
      <c r="Z19" s="36"/>
    </row>
    <row r="20" spans="1:26" s="34" customFormat="1" ht="63.75" customHeight="1" x14ac:dyDescent="0.25">
      <c r="A20" s="23" t="s">
        <v>95</v>
      </c>
      <c r="B20" s="24" t="s">
        <v>96</v>
      </c>
      <c r="C20" s="25" t="s">
        <v>97</v>
      </c>
      <c r="D20" s="26"/>
      <c r="E20" s="25" t="s">
        <v>98</v>
      </c>
      <c r="F20" s="23" t="s">
        <v>51</v>
      </c>
      <c r="G20" s="27" t="s">
        <v>10</v>
      </c>
      <c r="H20" s="28"/>
      <c r="I20" s="28"/>
      <c r="J20" s="29" t="s">
        <v>39</v>
      </c>
      <c r="K20" s="28"/>
      <c r="L20" s="30" t="s">
        <v>7</v>
      </c>
      <c r="M20" s="31">
        <f t="shared" si="0"/>
        <v>0</v>
      </c>
      <c r="N20" s="32">
        <f t="shared" si="1"/>
        <v>0</v>
      </c>
      <c r="O20" s="33"/>
      <c r="W20" s="35"/>
      <c r="Y20" s="35"/>
      <c r="Z20" s="36"/>
    </row>
    <row r="21" spans="1:26" s="34" customFormat="1" ht="46.15" customHeight="1" x14ac:dyDescent="0.25">
      <c r="A21" s="23" t="s">
        <v>99</v>
      </c>
      <c r="B21" s="24" t="s">
        <v>100</v>
      </c>
      <c r="C21" s="25" t="s">
        <v>101</v>
      </c>
      <c r="D21" s="26"/>
      <c r="E21" s="25" t="s">
        <v>102</v>
      </c>
      <c r="F21" s="23" t="s">
        <v>51</v>
      </c>
      <c r="G21" s="27" t="s">
        <v>10</v>
      </c>
      <c r="H21" s="28"/>
      <c r="I21" s="28"/>
      <c r="J21" s="29" t="s">
        <v>39</v>
      </c>
      <c r="K21" s="28"/>
      <c r="L21" s="30" t="s">
        <v>7</v>
      </c>
      <c r="M21" s="31">
        <f t="shared" si="0"/>
        <v>0</v>
      </c>
      <c r="N21" s="32">
        <f t="shared" si="1"/>
        <v>0</v>
      </c>
      <c r="O21" s="33"/>
      <c r="W21" s="35"/>
      <c r="Y21" s="35"/>
      <c r="Z21" s="36"/>
    </row>
    <row r="22" spans="1:26" s="34" customFormat="1" ht="73.349999999999994" customHeight="1" x14ac:dyDescent="0.25">
      <c r="A22" s="23" t="s">
        <v>103</v>
      </c>
      <c r="B22" s="24" t="s">
        <v>104</v>
      </c>
      <c r="C22" s="25" t="s">
        <v>105</v>
      </c>
      <c r="D22" s="26"/>
      <c r="E22" s="25" t="s">
        <v>106</v>
      </c>
      <c r="F22" s="23" t="s">
        <v>51</v>
      </c>
      <c r="G22" s="27" t="s">
        <v>10</v>
      </c>
      <c r="H22" s="28"/>
      <c r="I22" s="28"/>
      <c r="J22" s="29" t="s">
        <v>39</v>
      </c>
      <c r="K22" s="28"/>
      <c r="L22" s="30" t="s">
        <v>7</v>
      </c>
      <c r="M22" s="31">
        <f t="shared" si="0"/>
        <v>0</v>
      </c>
      <c r="N22" s="32">
        <f t="shared" si="1"/>
        <v>0</v>
      </c>
      <c r="O22" s="33"/>
      <c r="W22" s="35"/>
      <c r="Y22" s="35"/>
      <c r="Z22" s="36"/>
    </row>
    <row r="23" spans="1:26" s="34" customFormat="1" ht="52.9" customHeight="1" x14ac:dyDescent="0.25">
      <c r="A23" s="23" t="s">
        <v>107</v>
      </c>
      <c r="B23" s="24" t="s">
        <v>108</v>
      </c>
      <c r="C23" s="25" t="s">
        <v>109</v>
      </c>
      <c r="D23" s="26"/>
      <c r="E23" s="25" t="s">
        <v>110</v>
      </c>
      <c r="F23" s="23" t="s">
        <v>51</v>
      </c>
      <c r="G23" s="27" t="s">
        <v>10</v>
      </c>
      <c r="H23" s="28"/>
      <c r="I23" s="28"/>
      <c r="J23" s="29" t="s">
        <v>39</v>
      </c>
      <c r="K23" s="28"/>
      <c r="L23" s="30" t="s">
        <v>7</v>
      </c>
      <c r="M23" s="31">
        <f t="shared" si="0"/>
        <v>0</v>
      </c>
      <c r="N23" s="32">
        <f t="shared" si="1"/>
        <v>0</v>
      </c>
      <c r="O23" s="33"/>
      <c r="W23" s="35"/>
      <c r="Y23" s="35"/>
      <c r="Z23" s="36"/>
    </row>
    <row r="24" spans="1:26" s="34" customFormat="1" ht="52.5" x14ac:dyDescent="0.25">
      <c r="A24" s="23" t="s">
        <v>111</v>
      </c>
      <c r="B24" s="24" t="s">
        <v>112</v>
      </c>
      <c r="C24" s="25" t="s">
        <v>113</v>
      </c>
      <c r="D24" s="26"/>
      <c r="E24" s="25" t="s">
        <v>114</v>
      </c>
      <c r="F24" s="23" t="s">
        <v>51</v>
      </c>
      <c r="G24" s="27" t="s">
        <v>10</v>
      </c>
      <c r="H24" s="28"/>
      <c r="I24" s="28"/>
      <c r="J24" s="29" t="s">
        <v>39</v>
      </c>
      <c r="K24" s="28"/>
      <c r="L24" s="30" t="s">
        <v>7</v>
      </c>
      <c r="M24" s="31">
        <f t="shared" si="0"/>
        <v>0</v>
      </c>
      <c r="N24" s="32">
        <f t="shared" si="1"/>
        <v>0</v>
      </c>
      <c r="O24" s="33"/>
      <c r="W24" s="35"/>
      <c r="Y24" s="35"/>
      <c r="Z24" s="36"/>
    </row>
    <row r="25" spans="1:26" s="34" customFormat="1" ht="52.5" x14ac:dyDescent="0.25">
      <c r="A25" s="23" t="s">
        <v>115</v>
      </c>
      <c r="B25" s="24" t="s">
        <v>116</v>
      </c>
      <c r="C25" s="25" t="s">
        <v>117</v>
      </c>
      <c r="D25" s="26"/>
      <c r="E25" s="25" t="s">
        <v>118</v>
      </c>
      <c r="F25" s="23" t="s">
        <v>51</v>
      </c>
      <c r="G25" s="27" t="s">
        <v>10</v>
      </c>
      <c r="H25" s="28"/>
      <c r="I25" s="28"/>
      <c r="J25" s="29" t="s">
        <v>39</v>
      </c>
      <c r="K25" s="28"/>
      <c r="L25" s="30" t="s">
        <v>7</v>
      </c>
      <c r="M25" s="31">
        <f t="shared" si="0"/>
        <v>0</v>
      </c>
      <c r="N25" s="32">
        <f t="shared" si="1"/>
        <v>0</v>
      </c>
      <c r="O25" s="33"/>
      <c r="W25" s="35"/>
      <c r="Y25" s="35"/>
      <c r="Z25" s="36"/>
    </row>
    <row r="26" spans="1:26" s="34" customFormat="1" ht="52.5" x14ac:dyDescent="0.25">
      <c r="A26" s="23" t="s">
        <v>119</v>
      </c>
      <c r="B26" s="24" t="s">
        <v>120</v>
      </c>
      <c r="C26" s="25" t="s">
        <v>121</v>
      </c>
      <c r="D26" s="26"/>
      <c r="E26" s="25" t="s">
        <v>122</v>
      </c>
      <c r="F26" s="23" t="s">
        <v>51</v>
      </c>
      <c r="G26" s="27" t="s">
        <v>10</v>
      </c>
      <c r="H26" s="28"/>
      <c r="I26" s="28"/>
      <c r="J26" s="29" t="s">
        <v>39</v>
      </c>
      <c r="K26" s="28"/>
      <c r="L26" s="30" t="s">
        <v>7</v>
      </c>
      <c r="M26" s="31">
        <f t="shared" si="0"/>
        <v>0</v>
      </c>
      <c r="N26" s="32">
        <f t="shared" si="1"/>
        <v>0</v>
      </c>
      <c r="O26" s="33"/>
      <c r="W26" s="35"/>
      <c r="Y26" s="35"/>
      <c r="Z26" s="36"/>
    </row>
    <row r="27" spans="1:26" s="34" customFormat="1" ht="52.5" x14ac:dyDescent="0.25">
      <c r="A27" s="23" t="s">
        <v>123</v>
      </c>
      <c r="B27" s="24" t="s">
        <v>124</v>
      </c>
      <c r="C27" s="25" t="s">
        <v>125</v>
      </c>
      <c r="D27" s="26"/>
      <c r="E27" s="25" t="s">
        <v>126</v>
      </c>
      <c r="F27" s="23" t="s">
        <v>51</v>
      </c>
      <c r="G27" s="27" t="s">
        <v>10</v>
      </c>
      <c r="H27" s="28"/>
      <c r="I27" s="28"/>
      <c r="J27" s="29" t="s">
        <v>39</v>
      </c>
      <c r="K27" s="28"/>
      <c r="L27" s="30" t="s">
        <v>7</v>
      </c>
      <c r="M27" s="31">
        <f t="shared" si="0"/>
        <v>0</v>
      </c>
      <c r="N27" s="32">
        <f t="shared" si="1"/>
        <v>0</v>
      </c>
      <c r="O27" s="33"/>
      <c r="W27" s="35"/>
      <c r="Y27" s="35"/>
      <c r="Z27" s="36"/>
    </row>
    <row r="28" spans="1:26" s="34" customFormat="1" ht="52.5" x14ac:dyDescent="0.25">
      <c r="A28" s="23" t="s">
        <v>127</v>
      </c>
      <c r="B28" s="24" t="s">
        <v>128</v>
      </c>
      <c r="C28" s="25" t="s">
        <v>129</v>
      </c>
      <c r="D28" s="26"/>
      <c r="E28" s="25" t="s">
        <v>130</v>
      </c>
      <c r="F28" s="23" t="s">
        <v>51</v>
      </c>
      <c r="G28" s="27" t="s">
        <v>10</v>
      </c>
      <c r="H28" s="28"/>
      <c r="I28" s="28"/>
      <c r="J28" s="29" t="s">
        <v>39</v>
      </c>
      <c r="K28" s="28"/>
      <c r="L28" s="30" t="s">
        <v>7</v>
      </c>
      <c r="M28" s="31">
        <f t="shared" si="0"/>
        <v>0</v>
      </c>
      <c r="N28" s="32">
        <f t="shared" si="1"/>
        <v>0</v>
      </c>
      <c r="O28" s="33"/>
      <c r="W28" s="35"/>
      <c r="Y28" s="35"/>
      <c r="Z28" s="36"/>
    </row>
    <row r="29" spans="1:26" s="34" customFormat="1" ht="81.400000000000006" customHeight="1" x14ac:dyDescent="0.25">
      <c r="A29" s="23" t="s">
        <v>131</v>
      </c>
      <c r="B29" s="24" t="s">
        <v>132</v>
      </c>
      <c r="C29" s="25" t="s">
        <v>133</v>
      </c>
      <c r="D29" s="26"/>
      <c r="E29" s="25" t="s">
        <v>134</v>
      </c>
      <c r="F29" s="23" t="s">
        <v>51</v>
      </c>
      <c r="G29" s="27" t="s">
        <v>10</v>
      </c>
      <c r="H29" s="28"/>
      <c r="I29" s="28"/>
      <c r="J29" s="29" t="s">
        <v>39</v>
      </c>
      <c r="K29" s="28"/>
      <c r="L29" s="30" t="s">
        <v>7</v>
      </c>
      <c r="M29" s="31">
        <f t="shared" si="0"/>
        <v>0</v>
      </c>
      <c r="N29" s="32">
        <f t="shared" si="1"/>
        <v>0</v>
      </c>
      <c r="O29" s="33"/>
      <c r="W29" s="35"/>
      <c r="Y29" s="35"/>
      <c r="Z29" s="36"/>
    </row>
    <row r="30" spans="1:26" s="34" customFormat="1" ht="20.65" customHeight="1" x14ac:dyDescent="0.25">
      <c r="A30" s="48" t="s">
        <v>135</v>
      </c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</row>
  </sheetData>
  <sheetProtection selectLockedCells="1" selectUnlockedCells="1"/>
  <mergeCells count="20">
    <mergeCell ref="J6:K6"/>
    <mergeCell ref="M6:N6"/>
    <mergeCell ref="O6:O7"/>
    <mergeCell ref="A30:O30"/>
    <mergeCell ref="B6:B7"/>
    <mergeCell ref="C6:C7"/>
    <mergeCell ref="D6:D7"/>
    <mergeCell ref="E6:E7"/>
    <mergeCell ref="F6:F7"/>
    <mergeCell ref="G6:G7"/>
    <mergeCell ref="A1:F1"/>
    <mergeCell ref="Z1:Z7"/>
    <mergeCell ref="AC1:AC3"/>
    <mergeCell ref="A2:F2"/>
    <mergeCell ref="A3:F3"/>
    <mergeCell ref="A4:B4"/>
    <mergeCell ref="C4:F4"/>
    <mergeCell ref="A5:O5"/>
    <mergeCell ref="AC5:AC7"/>
    <mergeCell ref="A6:A7"/>
  </mergeCells>
  <conditionalFormatting sqref="M8:M29">
    <cfRule type="expression" dxfId="6" priority="1" stopIfTrue="1">
      <formula>NOT(ISERROR(SEARCH("false",M8)))</formula>
    </cfRule>
    <cfRule type="expression" dxfId="5" priority="2" stopIfTrue="1">
      <formula>NOT(ISERROR(SEARCH("false",M8)))</formula>
    </cfRule>
    <cfRule type="expression" dxfId="4" priority="3" stopIfTrue="1">
      <formula>NOT(ISERROR(SEARCH("false",M8)))</formula>
    </cfRule>
  </conditionalFormatting>
  <conditionalFormatting sqref="G8:G29">
    <cfRule type="expression" dxfId="3" priority="4" stopIfTrue="1">
      <formula>NOT(ISERROR(SEARCH("Select",G8)))</formula>
    </cfRule>
  </conditionalFormatting>
  <conditionalFormatting sqref="N8:N29">
    <cfRule type="expression" dxfId="2" priority="5" stopIfTrue="1">
      <formula>NOT(ISERROR(SEARCH("false",N8)))</formula>
    </cfRule>
    <cfRule type="expression" dxfId="1" priority="6" stopIfTrue="1">
      <formula>NOT(ISERROR(SEARCH("false",N8)))</formula>
    </cfRule>
    <cfRule type="expression" dxfId="0" priority="7" stopIfTrue="1">
      <formula>NOT(ISERROR(SEARCH("true",N8)))</formula>
    </cfRule>
  </conditionalFormatting>
  <dataValidations count="2">
    <dataValidation type="list" allowBlank="1" showErrorMessage="1" sqref="G8:G29">
      <formula1>$W$1:$W$2</formula1>
      <formula2>0</formula2>
    </dataValidation>
    <dataValidation type="list" allowBlank="1" showInputMessage="1" showErrorMessage="1" promptTitle="Select " prompt=" Agree or Disagree" sqref="J8:J29 L8:L29">
      <formula1>$AB$5:$AB$7</formula1>
      <formula2>0</formula2>
    </dataValidation>
  </dataValidations>
  <pageMargins left="0.7" right="0.7" top="0.75" bottom="0.75" header="0.51180555555555551" footer="0.51180555555555551"/>
  <pageSetup paperSize="9" firstPageNumber="0" fitToHeight="0" orientation="landscape" horizontalDpi="300" verticalDpi="300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Macros</vt:lpstr>
      <vt:lpstr>Macro1</vt:lpstr>
      <vt:lpstr>TPS</vt:lpstr>
      <vt:lpstr>TPS!wi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X</cp:lastModifiedBy>
  <dcterms:created xsi:type="dcterms:W3CDTF">2019-05-06T11:52:21Z</dcterms:created>
  <dcterms:modified xsi:type="dcterms:W3CDTF">2019-05-06T11:52:21Z</dcterms:modified>
</cp:coreProperties>
</file>